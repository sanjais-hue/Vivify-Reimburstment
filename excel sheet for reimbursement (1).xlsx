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My Folders\Vivify Reimburstment\"/>
    </mc:Choice>
  </mc:AlternateContent>
  <xr:revisionPtr revIDLastSave="0" documentId="13_ncr:1_{894870A6-EC21-494E-9AE2-5A50C1ECEA5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B Sri Hari Raju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N26" i="1" l="1"/>
  <c r="N27" i="1" l="1"/>
  <c r="N36" i="1"/>
  <c r="N35" i="1"/>
  <c r="N34" i="1"/>
  <c r="N12" i="1" l="1"/>
  <c r="N7" i="1"/>
  <c r="N17" i="1" l="1"/>
  <c r="N23" i="1"/>
  <c r="N22" i="1"/>
  <c r="N42" i="1" l="1"/>
  <c r="N43" i="1" l="1"/>
  <c r="N32" i="1" l="1"/>
  <c r="N41" i="1"/>
  <c r="N40" i="1"/>
  <c r="N39" i="1"/>
  <c r="N38" i="1"/>
  <c r="N37" i="1"/>
  <c r="N33" i="1"/>
  <c r="N44" i="1"/>
  <c r="N31" i="1"/>
  <c r="N30" i="1"/>
  <c r="N29" i="1"/>
  <c r="N28" i="1"/>
  <c r="N21" i="1" l="1"/>
  <c r="N20" i="1"/>
  <c r="N19" i="1"/>
  <c r="N18" i="1"/>
  <c r="N16" i="1"/>
  <c r="N15" i="1"/>
  <c r="N14" i="1"/>
  <c r="N5" i="1" l="1"/>
  <c r="N6" i="1" l="1"/>
  <c r="N8" i="1" l="1"/>
  <c r="J45" i="1" l="1"/>
  <c r="T62" i="1" s="1"/>
  <c r="K45" i="1"/>
  <c r="T63" i="1" s="1"/>
  <c r="L45" i="1"/>
  <c r="M45" i="1"/>
  <c r="I45" i="1" l="1"/>
  <c r="T61" i="1" s="1"/>
  <c r="N9" i="1" l="1"/>
  <c r="N10" i="1"/>
  <c r="N11" i="1"/>
  <c r="N13" i="1"/>
  <c r="N24" i="1"/>
  <c r="N25" i="1"/>
  <c r="T64" i="1" l="1"/>
  <c r="T65" i="1"/>
  <c r="T66" i="1"/>
  <c r="T68" i="1" l="1"/>
  <c r="T80" i="1" s="1"/>
  <c r="N45" i="1"/>
</calcChain>
</file>

<file path=xl/sharedStrings.xml><?xml version="1.0" encoding="utf-8"?>
<sst xmlns="http://schemas.openxmlformats.org/spreadsheetml/2006/main" count="225" uniqueCount="154">
  <si>
    <t>Local &amp; Tour Expense Report</t>
  </si>
  <si>
    <t>Date</t>
  </si>
  <si>
    <t>Time</t>
  </si>
  <si>
    <t>Particulars</t>
  </si>
  <si>
    <t>Total</t>
  </si>
  <si>
    <t>Department</t>
  </si>
  <si>
    <t>Nature Of Work</t>
  </si>
  <si>
    <t>Remarks</t>
  </si>
  <si>
    <t>Conveyance</t>
  </si>
  <si>
    <t>Lodging</t>
  </si>
  <si>
    <t>Others</t>
  </si>
  <si>
    <t>Date:</t>
  </si>
  <si>
    <t>[_____________]</t>
  </si>
  <si>
    <t>Checked by</t>
  </si>
  <si>
    <t>Passed by</t>
  </si>
  <si>
    <t>Approved by</t>
  </si>
  <si>
    <t xml:space="preserve"> </t>
  </si>
  <si>
    <t>Summary of the tour &amp; Local bill</t>
  </si>
  <si>
    <t>(Expenses &amp; Total in Rs.)</t>
  </si>
  <si>
    <t>Name</t>
  </si>
  <si>
    <t>Summary of expenses</t>
  </si>
  <si>
    <t>Conveyances</t>
  </si>
  <si>
    <t>Rs.</t>
  </si>
  <si>
    <t>Designation</t>
  </si>
  <si>
    <t>Fooding Exp.</t>
  </si>
  <si>
    <t>Places visited</t>
  </si>
  <si>
    <t>Fare</t>
  </si>
  <si>
    <t>Purpose</t>
  </si>
  <si>
    <t>Miscellaneous Exp.</t>
  </si>
  <si>
    <t>Authorised by</t>
  </si>
  <si>
    <t>Vivify Technocrats</t>
  </si>
  <si>
    <t>Total expenses</t>
  </si>
  <si>
    <t>To be billed to</t>
  </si>
  <si>
    <t>M/S.Smith Detection</t>
  </si>
  <si>
    <t>Less</t>
  </si>
  <si>
    <t>Service</t>
  </si>
  <si>
    <t>Advance drawn from Company</t>
  </si>
  <si>
    <t>Sales</t>
  </si>
  <si>
    <t>Advance drawn from Branch</t>
  </si>
  <si>
    <t>Project</t>
  </si>
  <si>
    <t>Cost of ticket paid by company</t>
  </si>
  <si>
    <t>TnM</t>
  </si>
  <si>
    <t>Cost of ticket paid by Branch</t>
  </si>
  <si>
    <t>Total Advance</t>
  </si>
  <si>
    <t>Net amount  receivable from company</t>
  </si>
  <si>
    <t>[____________]</t>
  </si>
  <si>
    <t>PM , INST, INSP,CM</t>
  </si>
  <si>
    <t>B Sri Hari Raju</t>
  </si>
  <si>
    <t>SERVICE</t>
  </si>
  <si>
    <t>B.Sri Hari Raju</t>
  </si>
  <si>
    <t>Field Service  Engineer</t>
  </si>
  <si>
    <t>NAME</t>
  </si>
  <si>
    <t xml:space="preserve">  </t>
  </si>
  <si>
    <t xml:space="preserve">           </t>
  </si>
  <si>
    <t>Local</t>
  </si>
  <si>
    <t>Auto</t>
  </si>
  <si>
    <t>PM</t>
  </si>
  <si>
    <t xml:space="preserve">Bike </t>
  </si>
  <si>
    <t>CM</t>
  </si>
  <si>
    <t>Bike</t>
  </si>
  <si>
    <t xml:space="preserve">Local </t>
  </si>
  <si>
    <t>Train</t>
  </si>
  <si>
    <t>AUTO</t>
  </si>
  <si>
    <t xml:space="preserve">B.Sri Hari Raju </t>
  </si>
  <si>
    <t>Hyderabad,Gutur,</t>
  </si>
  <si>
    <t>Share cab</t>
  </si>
  <si>
    <t xml:space="preserve">Travel:Ameerpet metro station to Radisson Blue </t>
  </si>
  <si>
    <t>SMO7453608</t>
  </si>
  <si>
    <t>SALES</t>
  </si>
  <si>
    <t>WO-01024352</t>
  </si>
  <si>
    <t>RADISSON HOTEL HYDERABAD CITY /HS6040C-154967</t>
  </si>
  <si>
    <t xml:space="preserve">CM call Attended at RADISSON HOTEL </t>
  </si>
  <si>
    <t>Travel:Radisson hotel to Ameerpet metro station</t>
  </si>
  <si>
    <t xml:space="preserve">Travel:Ameerpet metro station to UAE Consulate </t>
  </si>
  <si>
    <t xml:space="preserve">CM call Attended at UAE Consulate </t>
  </si>
  <si>
    <t>Travel: UAE Consulate to Ameerpet metro station</t>
  </si>
  <si>
    <t>SMO7452875</t>
  </si>
  <si>
    <t>CONSULATE GENERAL OF UAE/HS5030c206219</t>
  </si>
  <si>
    <t>PM carried out at Foxxcon</t>
  </si>
  <si>
    <t>0005033818-000040</t>
  </si>
  <si>
    <t>SO6492385</t>
  </si>
  <si>
    <t>WO-00887562</t>
  </si>
  <si>
    <t>FOXXCON (INTERACTIVE DATA SYSTEMS LTD)SMD600PLUS/PZ/36060440117</t>
  </si>
  <si>
    <t>WO-01022712</t>
  </si>
  <si>
    <t>Travel:Ameerpet metro station to GMR Air cargo</t>
  </si>
  <si>
    <t>RN_224965_224966_224967_224968_224969_224970_224971_177801</t>
  </si>
  <si>
    <t>7 XBIS 'S&amp;IS 600 PM Done at Cargo</t>
  </si>
  <si>
    <t>Travel:GMR Air cargo to Ameerpet metro station</t>
  </si>
  <si>
    <t>GMR AIR CARGO -HS180180 2 pro-126063/HS145180TS-75629/HS100100T-75477/HS100100T2IS-158890/HS100100T2IS-151936/HS100100T2IS_207681/HS100100T-86196/IS600-92421</t>
  </si>
  <si>
    <t>Travel:Ameerpet metro station to Dr Reddys CTO-2</t>
  </si>
  <si>
    <t>0005035336-000010</t>
  </si>
  <si>
    <t>SO6502254</t>
  </si>
  <si>
    <t>WO-00902530</t>
  </si>
  <si>
    <t>DR,REDDYS LABORATORIES LTD /HS100100V-142650</t>
  </si>
  <si>
    <t>Preventive maintenance done at Dr Reddy's</t>
  </si>
  <si>
    <t>Travel:Ameerpet metro station to Hyundai mobis(Raidurgh)</t>
  </si>
  <si>
    <t>4 Xbis PM Done at Hyundai mobis</t>
  </si>
  <si>
    <t>Travel:Hyundai mobis to Ameerpet Metro station</t>
  </si>
  <si>
    <t>HYUNDAI MOBIS -HS6040c-211408/211411 /211409/211410</t>
  </si>
  <si>
    <t xml:space="preserve">WO-00900701 - 00912515 - 00900693 - WO-00900694 </t>
  </si>
  <si>
    <t>SO -6501300 - 6505678 - 6501292 - 6501293</t>
  </si>
  <si>
    <t>0005034596-000140-000503496-000170 -0005034596-000150 - 0005034596-000160</t>
  </si>
  <si>
    <t>Travel:Ameerpet metro station to Instacart services pvt limited</t>
  </si>
  <si>
    <t>Preventive maintenance done at Instakart services pvt limited</t>
  </si>
  <si>
    <t xml:space="preserve">Travel:Instakart services pvt limite to Ameerpet </t>
  </si>
  <si>
    <t>0005035364-000010</t>
  </si>
  <si>
    <t>SO-6501552</t>
  </si>
  <si>
    <t>WO-00900953</t>
  </si>
  <si>
    <t>INSTAKART SERVICES PVT LTD -HS100100T - 154884</t>
  </si>
  <si>
    <t>Travel:Home to Railway station</t>
  </si>
  <si>
    <t>Travel: Hyderabad to Guntur</t>
  </si>
  <si>
    <t>Travel:Dr Reddy's to Ameerpet metro station</t>
  </si>
  <si>
    <t>0005035812-000010                             0005035812-000020                             0005035812-000030</t>
  </si>
  <si>
    <t>SO-6506541                                         SO-6506542                                         SO-6506543</t>
  </si>
  <si>
    <t>WO-00914268                                        WO-00914269                                         WO-00914270</t>
  </si>
  <si>
    <t>Tour</t>
  </si>
  <si>
    <t xml:space="preserve">Travel:Guntur Hotel to ITC Welcome Hotel </t>
  </si>
  <si>
    <t>3 Xbis PM Done at ITC WEL COME HOTEL</t>
  </si>
  <si>
    <t>ITC Welcome Hotel to Hotel</t>
  </si>
  <si>
    <t>Hotel bill on 24-10-2025</t>
  </si>
  <si>
    <t xml:space="preserve">Guntur To Vijayawad </t>
  </si>
  <si>
    <t xml:space="preserve">Tarvel:Benz Circle to Hotel </t>
  </si>
  <si>
    <t>NOTE : Advance Taken from company  on   Rs</t>
  </si>
  <si>
    <t>NOTE : Advance Taken from company  on  Rs</t>
  </si>
  <si>
    <t>NOTE : Advance Taken from company  -22 Oct 2028 Rs</t>
  </si>
  <si>
    <t>Travel:Hotel to Taj vivanta Hotel</t>
  </si>
  <si>
    <t>Share Auto</t>
  </si>
  <si>
    <t>Preventive maintenance done at Taj vivanta hotel</t>
  </si>
  <si>
    <t>Travel:Taj vivanta to Novotel hotel</t>
  </si>
  <si>
    <t>2 Xbis PM Done at Novotel Hotel</t>
  </si>
  <si>
    <t xml:space="preserve">Travel:Novotel hotel to Hotel </t>
  </si>
  <si>
    <t xml:space="preserve">Auto </t>
  </si>
  <si>
    <t xml:space="preserve">Hotel to Railway station </t>
  </si>
  <si>
    <t>Hotel bill on 25-10-2025</t>
  </si>
  <si>
    <t>Vijayawada to Hyderabad</t>
  </si>
  <si>
    <t>0005037875-000010                               0005031550-000040                               0005031550-000030</t>
  </si>
  <si>
    <t xml:space="preserve">Travel:Secunderabad Railway Station to Home </t>
  </si>
  <si>
    <t>SO-6557365                                           SO-6500955                                          SO -6500954</t>
  </si>
  <si>
    <t>WO-01038486                                                 WO-00900345                                                  WO-00900344</t>
  </si>
  <si>
    <t>Travel:Fox conn to Ameerpet metro station</t>
  </si>
  <si>
    <t>Travel:Ameerpet metro station to Fox conn</t>
  </si>
  <si>
    <r>
      <t xml:space="preserve">TAJ VIVANTA-HS6046 si-151695    -NOVOTEL HOTEL -HS 7555i-150670 /HS6040c-150312                  </t>
    </r>
    <r>
      <rPr>
        <b/>
        <sz val="10"/>
        <rFont val="Cambria"/>
        <family val="1"/>
        <scheme val="major"/>
      </rPr>
      <t>B6&amp;B7&amp;B8</t>
    </r>
  </si>
  <si>
    <r>
      <t xml:space="preserve">ITC WELCOME HOTEL - HS5030si-156620/HS6040c-156651/HS100100T156820           </t>
    </r>
    <r>
      <rPr>
        <b/>
        <sz val="10"/>
        <rFont val="Cambria"/>
        <family val="1"/>
        <scheme val="major"/>
      </rPr>
      <t>B1&amp;B2&amp;B37B4&amp;B5</t>
    </r>
  </si>
  <si>
    <t>Expense Type</t>
  </si>
  <si>
    <t>Distance in (km)</t>
  </si>
  <si>
    <t>From Time</t>
  </si>
  <si>
    <t>To Time</t>
  </si>
  <si>
    <t>Mode of Transport</t>
  </si>
  <si>
    <t>Expenses Details</t>
  </si>
  <si>
    <t>Miscellaneous</t>
  </si>
  <si>
    <t>SO/SAP NO</t>
  </si>
  <si>
    <t>SMO/WBS No</t>
  </si>
  <si>
    <t xml:space="preserve"> Ref No</t>
  </si>
  <si>
    <t>Food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</si>
</sst>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-* #,##0.00_-;\-* #,##0.00_-;_-* &quot;-&quot;??_-;_-@_-"/>
    <numFmt numFmtId="166" formatCode="[$$-409]#,##0.00;[Red]\-[$$-409]#,##0.00"/>
  </numFmts>
  <fonts count="19" x14ac:knownFonts="1">
    <font>
      <sz val="10"/>
      <name val="Tahoma"/>
      <family val="2"/>
    </font>
    <font>
      <sz val="10"/>
      <name val="Arial"/>
      <family val="2"/>
    </font>
    <font>
      <b/>
      <i/>
      <sz val="16"/>
      <name val="Tahoma"/>
      <family val="2"/>
    </font>
    <font>
      <b/>
      <i/>
      <u/>
      <sz val="10"/>
      <name val="Tahoma"/>
      <family val="2"/>
    </font>
    <font>
      <b/>
      <sz val="12"/>
      <name val="Cambria"/>
      <family val="1"/>
      <scheme val="major"/>
    </font>
    <font>
      <sz val="10"/>
      <name val="Cambria"/>
      <family val="1"/>
      <scheme val="major"/>
    </font>
    <font>
      <sz val="10"/>
      <color theme="1"/>
      <name val="Cambria"/>
      <family val="1"/>
      <scheme val="major"/>
    </font>
    <font>
      <sz val="8"/>
      <name val="Cambria"/>
      <family val="1"/>
      <scheme val="major"/>
    </font>
    <font>
      <sz val="11"/>
      <color theme="1"/>
      <name val="Cambria"/>
      <family val="1"/>
      <scheme val="major"/>
    </font>
    <font>
      <sz val="10"/>
      <color rgb="FF00B0F0"/>
      <name val="Cambria"/>
      <family val="1"/>
      <scheme val="major"/>
    </font>
    <font>
      <b/>
      <sz val="14"/>
      <name val="Cambria"/>
      <family val="1"/>
      <scheme val="major"/>
    </font>
    <font>
      <b/>
      <sz val="11"/>
      <name val="Cambria"/>
      <family val="1"/>
      <scheme val="major"/>
    </font>
    <font>
      <b/>
      <sz val="10"/>
      <name val="Cambria"/>
      <family val="1"/>
      <scheme val="major"/>
    </font>
    <font>
      <sz val="7"/>
      <name val="Cambria"/>
      <family val="1"/>
      <scheme val="major"/>
    </font>
    <font>
      <sz val="11"/>
      <name val="Cambria"/>
      <family val="1"/>
      <scheme val="major"/>
    </font>
    <font>
      <i/>
      <sz val="9"/>
      <name val="Cambria"/>
      <family val="1"/>
      <scheme val="major"/>
    </font>
    <font>
      <sz val="9"/>
      <name val="Cambria"/>
      <family val="1"/>
      <scheme val="major"/>
    </font>
    <font>
      <sz val="10"/>
      <color rgb="FFFF0000"/>
      <name val="Cambria"/>
      <family val="1"/>
      <scheme val="major"/>
    </font>
    <font>
      <sz val="8"/>
      <name val="Tahoma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164" fontId="1" fillId="0" borderId="0" applyBorder="0" applyAlignment="0" applyProtection="0"/>
    <xf numFmtId="0" fontId="2" fillId="0" borderId="0" applyBorder="0" applyProtection="0">
      <alignment horizontal="center"/>
    </xf>
    <xf numFmtId="0" fontId="2" fillId="0" borderId="0" applyBorder="0" applyProtection="0">
      <alignment horizontal="center" textRotation="90"/>
    </xf>
    <xf numFmtId="0" fontId="3" fillId="0" borderId="0" applyBorder="0" applyAlignment="0" applyProtection="0"/>
    <xf numFmtId="166" fontId="3" fillId="0" borderId="0" applyBorder="0" applyAlignment="0" applyProtection="0"/>
  </cellStyleXfs>
  <cellXfs count="123">
    <xf numFmtId="0" fontId="0" fillId="0" borderId="0" xfId="0"/>
    <xf numFmtId="0" fontId="5" fillId="0" borderId="0" xfId="0" applyFont="1"/>
    <xf numFmtId="0" fontId="6" fillId="0" borderId="0" xfId="0" applyFont="1" applyAlignment="1" applyProtection="1">
      <alignment wrapText="1"/>
      <protection locked="0"/>
    </xf>
    <xf numFmtId="0" fontId="6" fillId="0" borderId="0" xfId="0" applyFont="1" applyProtection="1"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7" fillId="0" borderId="0" xfId="0" applyFont="1" applyProtection="1">
      <protection locked="0"/>
    </xf>
    <xf numFmtId="1" fontId="8" fillId="0" borderId="0" xfId="0" applyNumberFormat="1" applyFont="1" applyAlignment="1" applyProtection="1">
      <alignment horizontal="center"/>
      <protection locked="0"/>
    </xf>
    <xf numFmtId="0" fontId="8" fillId="0" borderId="0" xfId="0" applyFont="1" applyProtection="1">
      <protection locked="0"/>
    </xf>
    <xf numFmtId="0" fontId="8" fillId="0" borderId="0" xfId="0" applyFont="1" applyAlignment="1" applyProtection="1">
      <alignment horizontal="center" vertical="center"/>
      <protection locked="0"/>
    </xf>
    <xf numFmtId="165" fontId="8" fillId="0" borderId="0" xfId="0" applyNumberFormat="1" applyFont="1" applyProtection="1">
      <protection locked="0"/>
    </xf>
    <xf numFmtId="0" fontId="9" fillId="0" borderId="0" xfId="0" applyFont="1" applyAlignment="1" applyProtection="1">
      <alignment horizontal="right"/>
      <protection locked="0"/>
    </xf>
    <xf numFmtId="0" fontId="9" fillId="0" borderId="0" xfId="0" applyFont="1" applyAlignment="1" applyProtection="1">
      <alignment horizontal="right" vertical="center" wrapText="1"/>
      <protection locked="0"/>
    </xf>
    <xf numFmtId="14" fontId="5" fillId="0" borderId="0" xfId="0" applyNumberFormat="1" applyFont="1" applyAlignment="1" applyProtection="1">
      <alignment horizontal="left"/>
      <protection locked="0"/>
    </xf>
    <xf numFmtId="0" fontId="5" fillId="0" borderId="0" xfId="0" applyFont="1" applyAlignment="1" applyProtection="1">
      <alignment horizontal="right"/>
      <protection locked="0"/>
    </xf>
    <xf numFmtId="0" fontId="5" fillId="0" borderId="0" xfId="0" applyFont="1" applyAlignment="1" applyProtection="1">
      <alignment horizontal="right" vertical="center" wrapText="1"/>
      <protection locked="0"/>
    </xf>
    <xf numFmtId="0" fontId="6" fillId="0" borderId="0" xfId="0" applyFont="1" applyAlignment="1" applyProtection="1">
      <alignment vertical="center" wrapText="1"/>
      <protection locked="0"/>
    </xf>
    <xf numFmtId="0" fontId="5" fillId="0" borderId="0" xfId="0" applyFont="1" applyAlignment="1" applyProtection="1">
      <alignment horizontal="justify"/>
      <protection locked="0"/>
    </xf>
    <xf numFmtId="0" fontId="8" fillId="0" borderId="0" xfId="0" applyFont="1" applyAlignment="1" applyProtection="1">
      <alignment horizontal="left"/>
      <protection locked="0"/>
    </xf>
    <xf numFmtId="0" fontId="4" fillId="0" borderId="0" xfId="0" applyFont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1" fontId="4" fillId="0" borderId="0" xfId="0" applyNumberFormat="1" applyFont="1" applyAlignment="1" applyProtection="1">
      <alignment horizontal="center"/>
      <protection locked="0"/>
    </xf>
    <xf numFmtId="0" fontId="11" fillId="0" borderId="0" xfId="0" applyFont="1" applyAlignment="1" applyProtection="1">
      <alignment horizont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165" fontId="4" fillId="0" borderId="0" xfId="0" applyNumberFormat="1" applyFont="1" applyAlignment="1" applyProtection="1">
      <alignment horizontal="center"/>
      <protection locked="0"/>
    </xf>
    <xf numFmtId="0" fontId="12" fillId="0" borderId="0" xfId="0" applyFont="1" applyAlignment="1" applyProtection="1">
      <alignment horizontal="center"/>
      <protection locked="0"/>
    </xf>
    <xf numFmtId="0" fontId="12" fillId="0" borderId="0" xfId="0" applyFont="1" applyAlignment="1" applyProtection="1">
      <alignment horizontal="center" vertical="center" wrapText="1"/>
      <protection locked="0"/>
    </xf>
    <xf numFmtId="0" fontId="13" fillId="0" borderId="1" xfId="0" applyFont="1" applyBorder="1" applyAlignment="1" applyProtection="1">
      <alignment horizontal="right"/>
      <protection locked="0"/>
    </xf>
    <xf numFmtId="1" fontId="13" fillId="0" borderId="1" xfId="0" applyNumberFormat="1" applyFont="1" applyBorder="1" applyAlignment="1" applyProtection="1">
      <alignment horizontal="center"/>
      <protection locked="0"/>
    </xf>
    <xf numFmtId="0" fontId="14" fillId="0" borderId="1" xfId="0" applyFont="1" applyBorder="1" applyAlignment="1" applyProtection="1">
      <alignment horizontal="right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165" fontId="13" fillId="0" borderId="1" xfId="0" applyNumberFormat="1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right"/>
      <protection locked="0"/>
    </xf>
    <xf numFmtId="0" fontId="5" fillId="0" borderId="2" xfId="0" applyFont="1" applyBorder="1" applyAlignment="1" applyProtection="1">
      <alignment horizontal="left" vertical="center"/>
      <protection locked="0"/>
    </xf>
    <xf numFmtId="0" fontId="7" fillId="0" borderId="2" xfId="0" applyFont="1" applyBorder="1" applyProtection="1">
      <protection locked="0"/>
    </xf>
    <xf numFmtId="0" fontId="15" fillId="0" borderId="0" xfId="0" applyFont="1" applyProtection="1">
      <protection locked="0"/>
    </xf>
    <xf numFmtId="1" fontId="16" fillId="0" borderId="3" xfId="0" applyNumberFormat="1" applyFont="1" applyBorder="1" applyAlignment="1" applyProtection="1">
      <alignment horizontal="center"/>
      <protection locked="0"/>
    </xf>
    <xf numFmtId="0" fontId="16" fillId="0" borderId="2" xfId="0" applyFont="1" applyBorder="1" applyProtection="1">
      <protection locked="0"/>
    </xf>
    <xf numFmtId="0" fontId="5" fillId="0" borderId="2" xfId="0" applyFont="1" applyBorder="1" applyProtection="1">
      <protection locked="0"/>
    </xf>
    <xf numFmtId="0" fontId="14" fillId="0" borderId="2" xfId="0" applyFont="1" applyBorder="1" applyProtection="1"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165" fontId="5" fillId="0" borderId="2" xfId="0" applyNumberFormat="1" applyFont="1" applyBorder="1" applyProtection="1">
      <protection locked="0"/>
    </xf>
    <xf numFmtId="0" fontId="5" fillId="0" borderId="0" xfId="0" applyFont="1" applyAlignment="1" applyProtection="1">
      <alignment vertical="center" wrapText="1"/>
      <protection locked="0"/>
    </xf>
    <xf numFmtId="1" fontId="16" fillId="0" borderId="4" xfId="0" applyNumberFormat="1" applyFont="1" applyBorder="1" applyAlignment="1" applyProtection="1">
      <alignment horizontal="center"/>
      <protection locked="0"/>
    </xf>
    <xf numFmtId="0" fontId="16" fillId="0" borderId="0" xfId="0" applyFont="1" applyProtection="1">
      <protection locked="0"/>
    </xf>
    <xf numFmtId="0" fontId="5" fillId="0" borderId="5" xfId="0" applyFont="1" applyBorder="1" applyProtection="1">
      <protection locked="0"/>
    </xf>
    <xf numFmtId="0" fontId="5" fillId="0" borderId="0" xfId="0" applyFont="1" applyProtection="1">
      <protection locked="0"/>
    </xf>
    <xf numFmtId="0" fontId="14" fillId="0" borderId="0" xfId="0" applyFont="1" applyProtection="1">
      <protection locked="0"/>
    </xf>
    <xf numFmtId="0" fontId="5" fillId="0" borderId="0" xfId="0" applyFont="1" applyAlignment="1" applyProtection="1">
      <alignment horizontal="center" vertical="center"/>
      <protection locked="0"/>
    </xf>
    <xf numFmtId="165" fontId="5" fillId="0" borderId="0" xfId="0" applyNumberFormat="1" applyFont="1" applyAlignment="1" applyProtection="1">
      <alignment horizontal="right"/>
      <protection locked="0"/>
    </xf>
    <xf numFmtId="165" fontId="5" fillId="0" borderId="0" xfId="1" applyNumberFormat="1" applyFont="1" applyProtection="1"/>
    <xf numFmtId="165" fontId="5" fillId="0" borderId="0" xfId="1" applyNumberFormat="1" applyFont="1" applyAlignment="1" applyProtection="1">
      <alignment vertical="center" wrapText="1"/>
      <protection locked="0"/>
    </xf>
    <xf numFmtId="0" fontId="5" fillId="0" borderId="0" xfId="0" applyFont="1" applyAlignment="1" applyProtection="1">
      <alignment vertical="center"/>
      <protection locked="0"/>
    </xf>
    <xf numFmtId="0" fontId="12" fillId="0" borderId="5" xfId="0" applyFont="1" applyBorder="1" applyProtection="1">
      <protection locked="0"/>
    </xf>
    <xf numFmtId="0" fontId="12" fillId="0" borderId="0" xfId="0" applyFont="1" applyProtection="1">
      <protection locked="0"/>
    </xf>
    <xf numFmtId="0" fontId="11" fillId="0" borderId="0" xfId="0" applyFont="1" applyProtection="1">
      <protection locked="0"/>
    </xf>
    <xf numFmtId="0" fontId="12" fillId="0" borderId="0" xfId="0" applyFont="1" applyAlignment="1" applyProtection="1">
      <alignment horizontal="center" vertical="center"/>
      <protection locked="0"/>
    </xf>
    <xf numFmtId="165" fontId="12" fillId="0" borderId="0" xfId="0" applyNumberFormat="1" applyFont="1" applyAlignment="1" applyProtection="1">
      <alignment horizontal="right"/>
      <protection locked="0"/>
    </xf>
    <xf numFmtId="165" fontId="12" fillId="0" borderId="6" xfId="1" applyNumberFormat="1" applyFont="1" applyBorder="1" applyProtection="1"/>
    <xf numFmtId="165" fontId="12" fillId="0" borderId="0" xfId="1" applyNumberFormat="1" applyFont="1" applyBorder="1" applyAlignment="1" applyProtection="1">
      <alignment vertical="center" wrapText="1"/>
      <protection locked="0"/>
    </xf>
    <xf numFmtId="0" fontId="5" fillId="0" borderId="7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14" fillId="0" borderId="1" xfId="0" applyFont="1" applyBorder="1" applyProtection="1"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165" fontId="5" fillId="0" borderId="1" xfId="0" applyNumberFormat="1" applyFont="1" applyBorder="1" applyAlignment="1" applyProtection="1">
      <alignment horizontal="right"/>
      <protection locked="0"/>
    </xf>
    <xf numFmtId="165" fontId="5" fillId="0" borderId="1" xfId="1" applyNumberFormat="1" applyFont="1" applyBorder="1" applyProtection="1">
      <protection locked="0"/>
    </xf>
    <xf numFmtId="165" fontId="5" fillId="0" borderId="0" xfId="1" applyNumberFormat="1" applyFont="1" applyBorder="1" applyAlignment="1" applyProtection="1">
      <alignment vertical="center" wrapText="1"/>
      <protection locked="0"/>
    </xf>
    <xf numFmtId="165" fontId="5" fillId="0" borderId="0" xfId="0" applyNumberFormat="1" applyFont="1" applyProtection="1">
      <protection locked="0"/>
    </xf>
    <xf numFmtId="165" fontId="5" fillId="0" borderId="0" xfId="1" applyNumberFormat="1" applyFont="1" applyProtection="1">
      <protection locked="0"/>
    </xf>
    <xf numFmtId="0" fontId="5" fillId="0" borderId="1" xfId="0" applyFont="1" applyBorder="1" applyAlignment="1" applyProtection="1">
      <alignment horizontal="left" vertical="center"/>
      <protection locked="0"/>
    </xf>
    <xf numFmtId="0" fontId="7" fillId="0" borderId="1" xfId="0" applyFont="1" applyBorder="1" applyProtection="1">
      <protection locked="0"/>
    </xf>
    <xf numFmtId="1" fontId="5" fillId="0" borderId="8" xfId="0" applyNumberFormat="1" applyFont="1" applyBorder="1" applyAlignment="1" applyProtection="1">
      <alignment horizontal="center"/>
      <protection locked="0"/>
    </xf>
    <xf numFmtId="1" fontId="5" fillId="0" borderId="4" xfId="0" applyNumberFormat="1" applyFont="1" applyBorder="1" applyAlignment="1" applyProtection="1">
      <alignment horizontal="center"/>
      <protection locked="0"/>
    </xf>
    <xf numFmtId="165" fontId="5" fillId="0" borderId="0" xfId="0" applyNumberFormat="1" applyFont="1"/>
    <xf numFmtId="165" fontId="5" fillId="0" borderId="0" xfId="1" applyNumberFormat="1" applyFont="1" applyAlignment="1" applyProtection="1">
      <alignment horizontal="right"/>
      <protection locked="0"/>
    </xf>
    <xf numFmtId="165" fontId="5" fillId="0" borderId="0" xfId="1" applyNumberFormat="1" applyFont="1" applyAlignment="1" applyProtection="1">
      <alignment horizontal="right" vertical="center" wrapText="1"/>
      <protection locked="0"/>
    </xf>
    <xf numFmtId="2" fontId="16" fillId="0" borderId="0" xfId="0" applyNumberFormat="1" applyFont="1" applyProtection="1">
      <protection locked="0"/>
    </xf>
    <xf numFmtId="165" fontId="5" fillId="0" borderId="1" xfId="1" applyNumberFormat="1" applyFont="1" applyBorder="1" applyAlignment="1" applyProtection="1">
      <alignment horizontal="right"/>
      <protection locked="0"/>
    </xf>
    <xf numFmtId="165" fontId="5" fillId="0" borderId="0" xfId="1" applyNumberFormat="1" applyFont="1" applyBorder="1" applyAlignment="1" applyProtection="1">
      <alignment horizontal="right" vertical="center" wrapText="1"/>
      <protection locked="0"/>
    </xf>
    <xf numFmtId="165" fontId="12" fillId="0" borderId="9" xfId="1" applyNumberFormat="1" applyFont="1" applyBorder="1" applyProtection="1">
      <protection locked="0"/>
    </xf>
    <xf numFmtId="165" fontId="5" fillId="0" borderId="1" xfId="0" applyNumberFormat="1" applyFont="1" applyBorder="1" applyProtection="1">
      <protection locked="0"/>
    </xf>
    <xf numFmtId="1" fontId="5" fillId="0" borderId="0" xfId="0" applyNumberFormat="1" applyFont="1" applyAlignment="1" applyProtection="1">
      <alignment horizontal="center"/>
      <protection locked="0"/>
    </xf>
    <xf numFmtId="20" fontId="5" fillId="0" borderId="10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10" xfId="0" applyFont="1" applyBorder="1"/>
    <xf numFmtId="0" fontId="5" fillId="0" borderId="10" xfId="0" applyFont="1" applyBorder="1" applyAlignment="1">
      <alignment horizontal="center" vertical="center" wrapText="1"/>
    </xf>
    <xf numFmtId="165" fontId="17" fillId="0" borderId="0" xfId="1" applyNumberFormat="1" applyFont="1" applyAlignment="1" applyProtection="1">
      <alignment horizontal="center" vertical="center"/>
      <protection locked="0"/>
    </xf>
    <xf numFmtId="0" fontId="17" fillId="0" borderId="0" xfId="0" applyFont="1"/>
    <xf numFmtId="0" fontId="5" fillId="0" borderId="10" xfId="0" applyFont="1" applyBorder="1" applyAlignment="1">
      <alignment horizontal="center"/>
    </xf>
    <xf numFmtId="0" fontId="17" fillId="0" borderId="0" xfId="0" applyFont="1" applyAlignment="1">
      <alignment horizontal="center" wrapText="1"/>
    </xf>
    <xf numFmtId="0" fontId="12" fillId="0" borderId="10" xfId="0" applyFont="1" applyBorder="1" applyAlignment="1">
      <alignment horizontal="center"/>
    </xf>
    <xf numFmtId="20" fontId="5" fillId="0" borderId="10" xfId="0" applyNumberFormat="1" applyFont="1" applyBorder="1" applyAlignment="1">
      <alignment horizontal="center"/>
    </xf>
    <xf numFmtId="20" fontId="5" fillId="0" borderId="0" xfId="0" applyNumberFormat="1" applyFont="1" applyAlignment="1">
      <alignment horizont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left"/>
    </xf>
    <xf numFmtId="0" fontId="5" fillId="0" borderId="10" xfId="0" applyFont="1" applyBorder="1" applyAlignment="1">
      <alignment vertical="center"/>
    </xf>
    <xf numFmtId="14" fontId="5" fillId="0" borderId="10" xfId="0" applyNumberFormat="1" applyFont="1" applyBorder="1" applyAlignment="1">
      <alignment vertical="center"/>
    </xf>
    <xf numFmtId="0" fontId="12" fillId="0" borderId="10" xfId="0" applyFont="1" applyBorder="1" applyAlignment="1">
      <alignment vertical="center"/>
    </xf>
    <xf numFmtId="0" fontId="5" fillId="0" borderId="10" xfId="0" applyFont="1" applyBorder="1"/>
    <xf numFmtId="0" fontId="5" fillId="0" borderId="11" xfId="0" applyFont="1" applyBorder="1" applyAlignment="1">
      <alignment horizontal="center" vertical="center"/>
    </xf>
    <xf numFmtId="14" fontId="5" fillId="0" borderId="10" xfId="0" applyNumberFormat="1" applyFont="1" applyBorder="1" applyAlignment="1">
      <alignment horizontal="center" vertical="center" wrapText="1"/>
    </xf>
    <xf numFmtId="0" fontId="5" fillId="0" borderId="10" xfId="0" applyFont="1" applyBorder="1" applyAlignment="1">
      <alignment vertical="center" wrapText="1"/>
    </xf>
    <xf numFmtId="14" fontId="5" fillId="0" borderId="10" xfId="0" applyNumberFormat="1" applyFont="1" applyBorder="1" applyAlignment="1">
      <alignment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165" fontId="17" fillId="0" borderId="0" xfId="1" applyNumberFormat="1" applyFont="1" applyAlignment="1" applyProtection="1">
      <alignment horizontal="center" vertical="center"/>
      <protection locked="0"/>
    </xf>
    <xf numFmtId="0" fontId="5" fillId="0" borderId="11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14" fontId="5" fillId="0" borderId="11" xfId="0" applyNumberFormat="1" applyFont="1" applyBorder="1" applyAlignment="1">
      <alignment horizontal="center" vertical="center" wrapText="1"/>
    </xf>
    <xf numFmtId="14" fontId="5" fillId="0" borderId="13" xfId="0" applyNumberFormat="1" applyFont="1" applyBorder="1" applyAlignment="1">
      <alignment horizontal="center" vertical="center" wrapText="1"/>
    </xf>
    <xf numFmtId="14" fontId="5" fillId="0" borderId="12" xfId="0" applyNumberFormat="1" applyFont="1" applyBorder="1" applyAlignment="1">
      <alignment horizontal="center" vertical="center" wrapText="1"/>
    </xf>
    <xf numFmtId="0" fontId="5" fillId="0" borderId="0" xfId="0" applyFont="1" applyAlignment="1" applyProtection="1">
      <alignment horizontal="justify"/>
      <protection locked="0"/>
    </xf>
    <xf numFmtId="0" fontId="8" fillId="0" borderId="0" xfId="0" applyFont="1" applyProtection="1">
      <protection locked="0"/>
    </xf>
    <xf numFmtId="14" fontId="5" fillId="0" borderId="0" xfId="0" applyNumberFormat="1" applyFont="1" applyAlignment="1" applyProtection="1">
      <alignment horizontal="left"/>
      <protection locked="0"/>
    </xf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/>
    </xf>
    <xf numFmtId="0" fontId="12" fillId="0" borderId="10" xfId="0" applyFont="1" applyBorder="1"/>
    <xf numFmtId="0" fontId="12" fillId="0" borderId="10" xfId="0" applyFont="1" applyBorder="1" applyAlignment="1">
      <alignment horizontal="center"/>
    </xf>
    <xf numFmtId="0" fontId="12" fillId="0" borderId="11" xfId="0" applyFont="1" applyBorder="1" applyAlignment="1">
      <alignment horizontal="center" wrapText="1"/>
    </xf>
    <xf numFmtId="0" fontId="12" fillId="0" borderId="12" xfId="0" applyFont="1" applyBorder="1" applyAlignment="1">
      <alignment horizontal="center" wrapText="1"/>
    </xf>
    <xf numFmtId="0" fontId="5" fillId="0" borderId="10" xfId="0" applyFont="1" applyBorder="1" applyAlignment="1">
      <alignment horizontal="center" vertical="center"/>
    </xf>
  </cellXfs>
  <cellStyles count="6">
    <cellStyle name="Comma" xfId="1" builtinId="3"/>
    <cellStyle name="Heading" xfId="2" xr:uid="{00000000-0005-0000-0000-000001000000}"/>
    <cellStyle name="Heading1" xfId="3" xr:uid="{00000000-0005-0000-0000-000002000000}"/>
    <cellStyle name="Normal" xfId="0" builtinId="0"/>
    <cellStyle name="Result" xfId="4" xr:uid="{00000000-0005-0000-0000-000004000000}"/>
    <cellStyle name="Result2" xfId="5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3478662</xdr:colOff>
      <xdr:row>0</xdr:row>
      <xdr:rowOff>0</xdr:rowOff>
    </xdr:from>
    <xdr:to>
      <xdr:col>7</xdr:col>
      <xdr:colOff>1236786</xdr:colOff>
      <xdr:row>0</xdr:row>
      <xdr:rowOff>457200</xdr:rowOff>
    </xdr:to>
    <xdr:pic>
      <xdr:nvPicPr>
        <xdr:cNvPr id="2" name="68954620000000091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9418320" y="0"/>
          <a:ext cx="3014280" cy="457200"/>
        </a:xfrm>
        <a:prstGeom prst="rect">
          <a:avLst/>
        </a:prstGeom>
        <a:ln>
          <a:noFill/>
        </a:ln>
      </xdr:spPr>
    </xdr:pic>
    <xdr:clientData/>
  </xdr:twoCellAnchor>
  <xdr:oneCellAnchor>
    <xdr:from>
      <xdr:col>6</xdr:col>
      <xdr:colOff>448734</xdr:colOff>
      <xdr:row>55</xdr:row>
      <xdr:rowOff>141817</xdr:rowOff>
    </xdr:from>
    <xdr:ext cx="1819275" cy="371475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rcRect t="16862" r="5142"/>
        <a:stretch>
          <a:fillRect/>
        </a:stretch>
      </xdr:blipFill>
      <xdr:spPr bwMode="auto">
        <a:xfrm>
          <a:off x="5630334" y="8352367"/>
          <a:ext cx="181927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6"/>
  <sheetViews>
    <sheetView tabSelected="1" zoomScale="91" zoomScaleNormal="91" zoomScalePageLayoutView="60" workbookViewId="0">
      <pane xSplit="22080" topLeftCell="T1"/>
      <selection activeCell="K5" sqref="K5"/>
      <selection pane="topRight" activeCell="T26" sqref="T26:T33"/>
    </sheetView>
  </sheetViews>
  <sheetFormatPr defaultColWidth="9.21875" defaultRowHeight="13.2" x14ac:dyDescent="0.25"/>
  <cols>
    <col min="1" max="1" width="15" style="1" customWidth="1"/>
    <col min="2" max="2" width="14" style="1" customWidth="1"/>
    <col min="3" max="3" width="15.44140625" style="1" customWidth="1"/>
    <col min="4" max="5" width="17.6640625" style="1" customWidth="1"/>
    <col min="6" max="6" width="59.44140625" style="1" customWidth="1"/>
    <col min="7" max="7" width="14" style="1" customWidth="1"/>
    <col min="8" max="8" width="22.21875" style="1" customWidth="1"/>
    <col min="9" max="14" width="14" style="1" customWidth="1"/>
    <col min="15" max="15" width="38.77734375" style="1" customWidth="1"/>
    <col min="16" max="17" width="14" style="1" customWidth="1"/>
    <col min="18" max="18" width="29.44140625" style="1" customWidth="1"/>
    <col min="19" max="19" width="31.5546875" style="1" customWidth="1"/>
    <col min="20" max="20" width="32.44140625" style="1" customWidth="1"/>
    <col min="21" max="21" width="23.44140625" style="1" customWidth="1"/>
    <col min="22" max="22" width="14" style="1" customWidth="1"/>
    <col min="23" max="23" width="52.21875" style="1" customWidth="1"/>
    <col min="24" max="24" width="14" style="1" customWidth="1"/>
    <col min="25" max="25" width="15.44140625" style="1" customWidth="1"/>
    <col min="26" max="258" width="14" style="1" customWidth="1"/>
    <col min="259" max="1025" width="11.21875" style="1" customWidth="1"/>
    <col min="1026" max="16384" width="9.21875" style="1"/>
  </cols>
  <sheetData>
    <row r="1" spans="1:20" ht="68.55" customHeight="1" x14ac:dyDescent="0.25">
      <c r="A1" s="117" t="s">
        <v>0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</row>
    <row r="3" spans="1:20" x14ac:dyDescent="0.25">
      <c r="A3" s="118" t="s">
        <v>51</v>
      </c>
      <c r="B3" s="118" t="s">
        <v>143</v>
      </c>
      <c r="C3" s="119" t="s">
        <v>1</v>
      </c>
      <c r="D3" s="119" t="s">
        <v>2</v>
      </c>
      <c r="E3" s="119"/>
      <c r="F3" s="119" t="s">
        <v>3</v>
      </c>
      <c r="G3" s="119" t="s">
        <v>148</v>
      </c>
      <c r="H3" s="119"/>
      <c r="I3" s="119"/>
      <c r="J3" s="119"/>
      <c r="K3" s="119"/>
      <c r="L3" s="119"/>
      <c r="M3" s="119"/>
      <c r="N3" s="119" t="s">
        <v>4</v>
      </c>
      <c r="O3" s="120" t="s">
        <v>150</v>
      </c>
      <c r="P3" s="119" t="s">
        <v>5</v>
      </c>
      <c r="Q3" s="119" t="s">
        <v>6</v>
      </c>
      <c r="R3" s="119" t="s">
        <v>151</v>
      </c>
      <c r="S3" s="119" t="s">
        <v>152</v>
      </c>
      <c r="T3" s="119" t="s">
        <v>7</v>
      </c>
    </row>
    <row r="4" spans="1:20" x14ac:dyDescent="0.25">
      <c r="A4" s="118"/>
      <c r="B4" s="118"/>
      <c r="C4" s="118"/>
      <c r="D4" s="84" t="s">
        <v>145</v>
      </c>
      <c r="E4" s="84" t="s">
        <v>146</v>
      </c>
      <c r="F4" s="119"/>
      <c r="G4" s="90" t="s">
        <v>144</v>
      </c>
      <c r="H4" s="90" t="s">
        <v>147</v>
      </c>
      <c r="I4" s="90" t="s">
        <v>8</v>
      </c>
      <c r="J4" s="90" t="s">
        <v>9</v>
      </c>
      <c r="K4" s="90" t="s">
        <v>153</v>
      </c>
      <c r="L4" s="90" t="s">
        <v>10</v>
      </c>
      <c r="M4" s="90" t="s">
        <v>149</v>
      </c>
      <c r="N4" s="119"/>
      <c r="O4" s="121"/>
      <c r="P4" s="119"/>
      <c r="Q4" s="119"/>
      <c r="R4" s="119"/>
      <c r="S4" s="119"/>
      <c r="T4" s="119"/>
    </row>
    <row r="5" spans="1:20" ht="18.75" customHeight="1" x14ac:dyDescent="0.25">
      <c r="A5" s="107" t="s">
        <v>49</v>
      </c>
      <c r="B5" s="107" t="s">
        <v>54</v>
      </c>
      <c r="C5" s="110">
        <v>45931</v>
      </c>
      <c r="D5" s="91">
        <v>0.4375</v>
      </c>
      <c r="E5" s="91">
        <v>0.45833333333333331</v>
      </c>
      <c r="F5" s="82" t="s">
        <v>66</v>
      </c>
      <c r="G5" s="88">
        <v>16</v>
      </c>
      <c r="H5" s="88" t="s">
        <v>59</v>
      </c>
      <c r="I5" s="88">
        <v>216</v>
      </c>
      <c r="J5" s="97"/>
      <c r="K5" s="99"/>
      <c r="L5" s="98"/>
      <c r="M5" s="98"/>
      <c r="N5" s="82">
        <f t="shared" ref="N5:N44" si="0">SUM(I5:M5)</f>
        <v>216</v>
      </c>
      <c r="O5" s="103" t="s">
        <v>67</v>
      </c>
      <c r="P5" s="107" t="s">
        <v>68</v>
      </c>
      <c r="Q5" s="107" t="s">
        <v>58</v>
      </c>
      <c r="R5" s="103" t="s">
        <v>67</v>
      </c>
      <c r="S5" s="103" t="s">
        <v>69</v>
      </c>
      <c r="T5" s="103" t="s">
        <v>70</v>
      </c>
    </row>
    <row r="6" spans="1:20" ht="18.75" customHeight="1" x14ac:dyDescent="0.25">
      <c r="A6" s="108"/>
      <c r="B6" s="108"/>
      <c r="C6" s="111"/>
      <c r="D6" s="81">
        <v>0.45902777777777781</v>
      </c>
      <c r="E6" s="81">
        <v>0.625</v>
      </c>
      <c r="F6" s="82" t="s">
        <v>71</v>
      </c>
      <c r="G6" s="82"/>
      <c r="H6" s="82"/>
      <c r="I6" s="88"/>
      <c r="K6" s="82"/>
      <c r="L6" s="98"/>
      <c r="M6" s="98"/>
      <c r="N6" s="82">
        <f t="shared" si="0"/>
        <v>0</v>
      </c>
      <c r="O6" s="104"/>
      <c r="P6" s="108"/>
      <c r="Q6" s="108"/>
      <c r="R6" s="104"/>
      <c r="S6" s="104"/>
      <c r="T6" s="104"/>
    </row>
    <row r="7" spans="1:20" ht="19.5" customHeight="1" x14ac:dyDescent="0.25">
      <c r="A7" s="109"/>
      <c r="B7" s="109"/>
      <c r="C7" s="112"/>
      <c r="D7" s="81">
        <v>0.62569444444444444</v>
      </c>
      <c r="E7" s="81">
        <v>0.64652777777777781</v>
      </c>
      <c r="F7" s="82" t="s">
        <v>72</v>
      </c>
      <c r="G7" s="82">
        <v>16</v>
      </c>
      <c r="H7" s="82" t="s">
        <v>57</v>
      </c>
      <c r="I7" s="88">
        <v>216</v>
      </c>
      <c r="J7" s="97"/>
      <c r="K7" s="98"/>
      <c r="L7" s="98"/>
      <c r="M7" s="98"/>
      <c r="N7" s="82">
        <f t="shared" si="0"/>
        <v>216</v>
      </c>
      <c r="O7" s="105"/>
      <c r="P7" s="109"/>
      <c r="Q7" s="109"/>
      <c r="R7" s="105"/>
      <c r="S7" s="105"/>
      <c r="T7" s="105"/>
    </row>
    <row r="8" spans="1:20" ht="16.5" customHeight="1" x14ac:dyDescent="0.25">
      <c r="A8" s="107" t="s">
        <v>49</v>
      </c>
      <c r="B8" s="107" t="s">
        <v>60</v>
      </c>
      <c r="C8" s="110">
        <v>45932</v>
      </c>
      <c r="D8" s="81">
        <v>0.45833333333333331</v>
      </c>
      <c r="E8" s="81">
        <v>0.47916666666666669</v>
      </c>
      <c r="F8" s="82" t="s">
        <v>73</v>
      </c>
      <c r="G8" s="82">
        <v>6</v>
      </c>
      <c r="H8" s="82" t="s">
        <v>59</v>
      </c>
      <c r="I8" s="82">
        <v>81</v>
      </c>
      <c r="J8" s="97"/>
      <c r="K8" s="82"/>
      <c r="L8" s="98"/>
      <c r="M8" s="98"/>
      <c r="N8" s="82">
        <f t="shared" si="0"/>
        <v>81</v>
      </c>
      <c r="O8" s="103" t="s">
        <v>76</v>
      </c>
      <c r="P8" s="107" t="s">
        <v>68</v>
      </c>
      <c r="Q8" s="107" t="s">
        <v>58</v>
      </c>
      <c r="R8" s="103" t="s">
        <v>76</v>
      </c>
      <c r="S8" s="103" t="s">
        <v>83</v>
      </c>
      <c r="T8" s="103" t="s">
        <v>77</v>
      </c>
    </row>
    <row r="9" spans="1:20" ht="15" customHeight="1" x14ac:dyDescent="0.25">
      <c r="A9" s="108"/>
      <c r="B9" s="108"/>
      <c r="C9" s="111"/>
      <c r="D9" s="81">
        <v>0.47986111111111113</v>
      </c>
      <c r="E9" s="81">
        <v>0.5625</v>
      </c>
      <c r="F9" s="81" t="s">
        <v>74</v>
      </c>
      <c r="G9" s="82"/>
      <c r="H9" s="82"/>
      <c r="I9" s="82"/>
      <c r="J9" s="97"/>
      <c r="K9" s="95"/>
      <c r="L9" s="98"/>
      <c r="M9" s="98"/>
      <c r="N9" s="82">
        <f t="shared" si="0"/>
        <v>0</v>
      </c>
      <c r="O9" s="104"/>
      <c r="P9" s="108"/>
      <c r="Q9" s="108"/>
      <c r="R9" s="104"/>
      <c r="S9" s="104"/>
      <c r="T9" s="104"/>
    </row>
    <row r="10" spans="1:20" ht="15.75" customHeight="1" x14ac:dyDescent="0.25">
      <c r="A10" s="109"/>
      <c r="B10" s="109"/>
      <c r="C10" s="112"/>
      <c r="D10" s="91">
        <v>0.56319444444444444</v>
      </c>
      <c r="E10" s="92">
        <v>0.57013888888888886</v>
      </c>
      <c r="F10" s="82" t="s">
        <v>75</v>
      </c>
      <c r="G10" s="82">
        <v>6</v>
      </c>
      <c r="H10" s="82" t="s">
        <v>59</v>
      </c>
      <c r="I10" s="82">
        <v>81</v>
      </c>
      <c r="J10" s="97"/>
      <c r="K10" s="95"/>
      <c r="L10" s="98"/>
      <c r="M10" s="98"/>
      <c r="N10" s="82">
        <f t="shared" si="0"/>
        <v>81</v>
      </c>
      <c r="O10" s="105"/>
      <c r="P10" s="109"/>
      <c r="Q10" s="109"/>
      <c r="R10" s="105"/>
      <c r="S10" s="105"/>
      <c r="T10" s="105"/>
    </row>
    <row r="11" spans="1:20" ht="20.25" customHeight="1" x14ac:dyDescent="0.25">
      <c r="A11" s="107" t="s">
        <v>49</v>
      </c>
      <c r="B11" s="107" t="s">
        <v>54</v>
      </c>
      <c r="C11" s="110">
        <v>45939</v>
      </c>
      <c r="D11" s="81">
        <v>0.40277777777777773</v>
      </c>
      <c r="E11" s="81">
        <v>0.47222222222222227</v>
      </c>
      <c r="F11" s="82" t="s">
        <v>140</v>
      </c>
      <c r="G11" s="82">
        <v>42</v>
      </c>
      <c r="H11" s="82" t="s">
        <v>59</v>
      </c>
      <c r="I11" s="82">
        <v>567</v>
      </c>
      <c r="J11" s="97"/>
      <c r="K11" s="95"/>
      <c r="L11" s="98"/>
      <c r="M11" s="98"/>
      <c r="N11" s="82">
        <f t="shared" si="0"/>
        <v>567</v>
      </c>
      <c r="O11" s="103" t="s">
        <v>79</v>
      </c>
      <c r="P11" s="107" t="s">
        <v>48</v>
      </c>
      <c r="Q11" s="107" t="s">
        <v>56</v>
      </c>
      <c r="R11" s="103" t="s">
        <v>80</v>
      </c>
      <c r="S11" s="103" t="s">
        <v>81</v>
      </c>
      <c r="T11" s="103" t="s">
        <v>82</v>
      </c>
    </row>
    <row r="12" spans="1:20" ht="17.25" customHeight="1" x14ac:dyDescent="0.25">
      <c r="A12" s="108"/>
      <c r="B12" s="108"/>
      <c r="C12" s="111"/>
      <c r="D12" s="81">
        <v>0.47569444444444442</v>
      </c>
      <c r="E12" s="81">
        <v>0.56597222222222221</v>
      </c>
      <c r="F12" s="85" t="s">
        <v>78</v>
      </c>
      <c r="G12" s="82"/>
      <c r="H12" s="82"/>
      <c r="I12" s="82"/>
      <c r="J12" s="97"/>
      <c r="K12" s="82"/>
      <c r="L12" s="98"/>
      <c r="M12" s="98"/>
      <c r="N12" s="82">
        <f t="shared" si="0"/>
        <v>0</v>
      </c>
      <c r="O12" s="104"/>
      <c r="P12" s="108"/>
      <c r="Q12" s="108"/>
      <c r="R12" s="104"/>
      <c r="S12" s="104"/>
      <c r="T12" s="104"/>
    </row>
    <row r="13" spans="1:20" ht="21" customHeight="1" x14ac:dyDescent="0.25">
      <c r="A13" s="109"/>
      <c r="B13" s="109"/>
      <c r="C13" s="112"/>
      <c r="D13" s="81">
        <v>0.56944444444444442</v>
      </c>
      <c r="E13" s="81">
        <v>0.65277777777777779</v>
      </c>
      <c r="F13" s="85" t="s">
        <v>139</v>
      </c>
      <c r="G13" s="82">
        <v>42</v>
      </c>
      <c r="H13" s="82" t="s">
        <v>59</v>
      </c>
      <c r="I13" s="82">
        <v>567</v>
      </c>
      <c r="J13" s="83"/>
      <c r="K13" s="82"/>
      <c r="L13" s="98"/>
      <c r="M13" s="98"/>
      <c r="N13" s="82">
        <f t="shared" si="0"/>
        <v>567</v>
      </c>
      <c r="O13" s="105"/>
      <c r="P13" s="109"/>
      <c r="Q13" s="109"/>
      <c r="R13" s="105"/>
      <c r="S13" s="105"/>
      <c r="T13" s="105"/>
    </row>
    <row r="14" spans="1:20" ht="26.25" customHeight="1" x14ac:dyDescent="0.25">
      <c r="A14" s="107" t="s">
        <v>49</v>
      </c>
      <c r="B14" s="107" t="s">
        <v>54</v>
      </c>
      <c r="C14" s="110">
        <v>45945</v>
      </c>
      <c r="D14" s="81">
        <v>0.38472222222222219</v>
      </c>
      <c r="E14" s="81">
        <v>0.41597222222222219</v>
      </c>
      <c r="F14" s="85" t="s">
        <v>84</v>
      </c>
      <c r="G14" s="82">
        <v>37</v>
      </c>
      <c r="H14" s="82" t="s">
        <v>59</v>
      </c>
      <c r="I14" s="82">
        <v>499.5</v>
      </c>
      <c r="J14" s="83"/>
      <c r="K14" s="82"/>
      <c r="L14" s="98"/>
      <c r="M14" s="98"/>
      <c r="N14" s="82">
        <f t="shared" si="0"/>
        <v>499.5</v>
      </c>
      <c r="O14" s="103" t="s">
        <v>85</v>
      </c>
      <c r="P14" s="107" t="s">
        <v>48</v>
      </c>
      <c r="Q14" s="107" t="s">
        <v>56</v>
      </c>
      <c r="R14" s="103" t="s">
        <v>85</v>
      </c>
      <c r="S14" s="103" t="s">
        <v>85</v>
      </c>
      <c r="T14" s="103" t="s">
        <v>88</v>
      </c>
    </row>
    <row r="15" spans="1:20" ht="36.75" customHeight="1" x14ac:dyDescent="0.25">
      <c r="A15" s="108"/>
      <c r="B15" s="108"/>
      <c r="C15" s="111"/>
      <c r="D15" s="81">
        <v>0.41666666666666669</v>
      </c>
      <c r="E15" s="81">
        <v>0.83680555555555547</v>
      </c>
      <c r="F15" s="85" t="s">
        <v>86</v>
      </c>
      <c r="G15" s="82"/>
      <c r="H15" s="82"/>
      <c r="I15" s="82"/>
      <c r="J15" s="83"/>
      <c r="K15" s="82">
        <v>300</v>
      </c>
      <c r="L15" s="98">
        <v>400</v>
      </c>
      <c r="M15" s="98">
        <v>400</v>
      </c>
      <c r="N15" s="82">
        <f t="shared" si="0"/>
        <v>1100</v>
      </c>
      <c r="O15" s="104"/>
      <c r="P15" s="108"/>
      <c r="Q15" s="108"/>
      <c r="R15" s="104"/>
      <c r="S15" s="104"/>
      <c r="T15" s="104"/>
    </row>
    <row r="16" spans="1:20" ht="30" customHeight="1" x14ac:dyDescent="0.25">
      <c r="A16" s="109"/>
      <c r="B16" s="109"/>
      <c r="C16" s="112"/>
      <c r="D16" s="81">
        <v>0.83750000000000002</v>
      </c>
      <c r="E16" s="81">
        <v>0.87916666666666676</v>
      </c>
      <c r="F16" s="85" t="s">
        <v>87</v>
      </c>
      <c r="G16" s="82">
        <v>37</v>
      </c>
      <c r="H16" s="82" t="s">
        <v>59</v>
      </c>
      <c r="I16" s="82">
        <v>499.5</v>
      </c>
      <c r="J16" s="83"/>
      <c r="K16" s="95"/>
      <c r="L16" s="98"/>
      <c r="M16" s="98"/>
      <c r="N16" s="82">
        <f t="shared" si="0"/>
        <v>499.5</v>
      </c>
      <c r="O16" s="105"/>
      <c r="P16" s="109"/>
      <c r="Q16" s="109"/>
      <c r="R16" s="105"/>
      <c r="S16" s="105"/>
      <c r="T16" s="105"/>
    </row>
    <row r="17" spans="1:20" ht="22.5" customHeight="1" x14ac:dyDescent="0.25">
      <c r="A17" s="107" t="s">
        <v>63</v>
      </c>
      <c r="B17" s="107" t="s">
        <v>54</v>
      </c>
      <c r="C17" s="110">
        <v>45948</v>
      </c>
      <c r="D17" s="81">
        <v>0.39583333333333331</v>
      </c>
      <c r="E17" s="81">
        <v>0.4375</v>
      </c>
      <c r="F17" s="82" t="s">
        <v>89</v>
      </c>
      <c r="G17" s="88">
        <v>18</v>
      </c>
      <c r="H17" s="88" t="s">
        <v>59</v>
      </c>
      <c r="I17" s="88">
        <v>243</v>
      </c>
      <c r="J17" s="83"/>
      <c r="K17" s="95"/>
      <c r="L17" s="98"/>
      <c r="M17" s="98"/>
      <c r="N17" s="82">
        <f t="shared" si="0"/>
        <v>243</v>
      </c>
      <c r="O17" s="103" t="s">
        <v>90</v>
      </c>
      <c r="P17" s="107" t="s">
        <v>48</v>
      </c>
      <c r="Q17" s="107" t="s">
        <v>56</v>
      </c>
      <c r="R17" s="103" t="s">
        <v>91</v>
      </c>
      <c r="S17" s="103" t="s">
        <v>92</v>
      </c>
      <c r="T17" s="103" t="s">
        <v>93</v>
      </c>
    </row>
    <row r="18" spans="1:20" ht="18.75" customHeight="1" x14ac:dyDescent="0.25">
      <c r="A18" s="108"/>
      <c r="B18" s="108"/>
      <c r="C18" s="111"/>
      <c r="D18" s="81">
        <v>0.44097222222222227</v>
      </c>
      <c r="E18" s="81">
        <v>0.54652777777777783</v>
      </c>
      <c r="F18" s="82" t="s">
        <v>94</v>
      </c>
      <c r="G18" s="82"/>
      <c r="H18" s="88"/>
      <c r="I18" s="88"/>
      <c r="J18" s="97"/>
      <c r="K18" s="82"/>
      <c r="L18" s="98"/>
      <c r="M18" s="98"/>
      <c r="N18" s="82">
        <f t="shared" si="0"/>
        <v>0</v>
      </c>
      <c r="O18" s="104"/>
      <c r="P18" s="108"/>
      <c r="Q18" s="108"/>
      <c r="R18" s="104"/>
      <c r="S18" s="104"/>
      <c r="T18" s="104"/>
    </row>
    <row r="19" spans="1:20" ht="18" customHeight="1" x14ac:dyDescent="0.25">
      <c r="A19" s="109"/>
      <c r="B19" s="109"/>
      <c r="C19" s="112"/>
      <c r="D19" s="81">
        <v>0.54722222222222217</v>
      </c>
      <c r="E19" s="81">
        <v>0.59375</v>
      </c>
      <c r="F19" s="82" t="s">
        <v>111</v>
      </c>
      <c r="G19" s="82">
        <v>19</v>
      </c>
      <c r="H19" s="82" t="s">
        <v>59</v>
      </c>
      <c r="I19" s="88">
        <v>256.5</v>
      </c>
      <c r="J19" s="83"/>
      <c r="K19" s="95"/>
      <c r="L19" s="98"/>
      <c r="M19" s="98"/>
      <c r="N19" s="82">
        <f t="shared" si="0"/>
        <v>256.5</v>
      </c>
      <c r="O19" s="105"/>
      <c r="P19" s="109"/>
      <c r="Q19" s="109"/>
      <c r="R19" s="105"/>
      <c r="S19" s="105"/>
      <c r="T19" s="105"/>
    </row>
    <row r="20" spans="1:20" ht="17.25" customHeight="1" x14ac:dyDescent="0.25">
      <c r="A20" s="122" t="s">
        <v>63</v>
      </c>
      <c r="B20" s="107" t="s">
        <v>54</v>
      </c>
      <c r="C20" s="110">
        <v>45949</v>
      </c>
      <c r="D20" s="81">
        <v>0.39513888888888887</v>
      </c>
      <c r="E20" s="81">
        <v>0.41597222222222219</v>
      </c>
      <c r="F20" s="85" t="s">
        <v>95</v>
      </c>
      <c r="G20" s="82">
        <v>8</v>
      </c>
      <c r="H20" s="82" t="s">
        <v>59</v>
      </c>
      <c r="I20" s="82">
        <v>108</v>
      </c>
      <c r="J20" s="83"/>
      <c r="K20" s="95"/>
      <c r="L20" s="98"/>
      <c r="M20" s="98"/>
      <c r="N20" s="82">
        <f t="shared" si="0"/>
        <v>108</v>
      </c>
      <c r="O20" s="103" t="s">
        <v>101</v>
      </c>
      <c r="P20" s="107" t="s">
        <v>48</v>
      </c>
      <c r="Q20" s="107" t="s">
        <v>56</v>
      </c>
      <c r="R20" s="103" t="s">
        <v>100</v>
      </c>
      <c r="S20" s="103" t="s">
        <v>99</v>
      </c>
      <c r="T20" s="103" t="s">
        <v>98</v>
      </c>
    </row>
    <row r="21" spans="1:20" ht="20.25" customHeight="1" x14ac:dyDescent="0.25">
      <c r="A21" s="122"/>
      <c r="B21" s="108"/>
      <c r="C21" s="111"/>
      <c r="D21" s="81">
        <v>0.41666666666666669</v>
      </c>
      <c r="E21" s="81">
        <v>0.71875</v>
      </c>
      <c r="F21" s="85" t="s">
        <v>96</v>
      </c>
      <c r="G21" s="82"/>
      <c r="H21" s="82"/>
      <c r="I21" s="82"/>
      <c r="J21" s="83"/>
      <c r="K21" s="82">
        <v>300</v>
      </c>
      <c r="L21" s="98"/>
      <c r="M21" s="98"/>
      <c r="N21" s="82">
        <f t="shared" si="0"/>
        <v>300</v>
      </c>
      <c r="O21" s="104"/>
      <c r="P21" s="108"/>
      <c r="Q21" s="108"/>
      <c r="R21" s="104"/>
      <c r="S21" s="104"/>
      <c r="T21" s="104"/>
    </row>
    <row r="22" spans="1:20" ht="20.25" customHeight="1" x14ac:dyDescent="0.25">
      <c r="A22" s="122"/>
      <c r="B22" s="109"/>
      <c r="C22" s="112"/>
      <c r="D22" s="81">
        <v>0.71944444444444444</v>
      </c>
      <c r="E22" s="81">
        <v>0.75069444444444444</v>
      </c>
      <c r="F22" s="85" t="s">
        <v>97</v>
      </c>
      <c r="G22" s="82">
        <v>8</v>
      </c>
      <c r="H22" s="82" t="s">
        <v>59</v>
      </c>
      <c r="I22" s="82">
        <v>108</v>
      </c>
      <c r="J22" s="83"/>
      <c r="K22" s="95"/>
      <c r="L22" s="98"/>
      <c r="M22" s="98"/>
      <c r="N22" s="82">
        <f t="shared" si="0"/>
        <v>108</v>
      </c>
      <c r="O22" s="105"/>
      <c r="P22" s="109"/>
      <c r="Q22" s="109"/>
      <c r="R22" s="105"/>
      <c r="S22" s="105"/>
      <c r="T22" s="105"/>
    </row>
    <row r="23" spans="1:20" ht="15.75" customHeight="1" x14ac:dyDescent="0.25">
      <c r="A23" s="107" t="s">
        <v>49</v>
      </c>
      <c r="B23" s="107" t="s">
        <v>54</v>
      </c>
      <c r="C23" s="110">
        <v>45953</v>
      </c>
      <c r="D23" s="81">
        <v>0.375</v>
      </c>
      <c r="E23" s="81">
        <v>0.4368055555555555</v>
      </c>
      <c r="F23" s="85" t="s">
        <v>102</v>
      </c>
      <c r="G23" s="82">
        <v>33</v>
      </c>
      <c r="H23" s="82" t="s">
        <v>59</v>
      </c>
      <c r="I23" s="82">
        <v>445.5</v>
      </c>
      <c r="J23" s="83"/>
      <c r="K23" s="95"/>
      <c r="L23" s="98"/>
      <c r="M23" s="98"/>
      <c r="N23" s="82">
        <f t="shared" si="0"/>
        <v>445.5</v>
      </c>
      <c r="O23" s="103" t="s">
        <v>105</v>
      </c>
      <c r="P23" s="107" t="s">
        <v>48</v>
      </c>
      <c r="Q23" s="107" t="s">
        <v>56</v>
      </c>
      <c r="R23" s="103" t="s">
        <v>106</v>
      </c>
      <c r="S23" s="103" t="s">
        <v>107</v>
      </c>
      <c r="T23" s="103" t="s">
        <v>108</v>
      </c>
    </row>
    <row r="24" spans="1:20" ht="19.5" customHeight="1" x14ac:dyDescent="0.25">
      <c r="A24" s="108"/>
      <c r="B24" s="108"/>
      <c r="C24" s="111"/>
      <c r="D24" s="81">
        <v>0.4375</v>
      </c>
      <c r="E24" s="81">
        <v>0.5625</v>
      </c>
      <c r="F24" s="85" t="s">
        <v>103</v>
      </c>
      <c r="G24" s="82"/>
      <c r="H24" s="82"/>
      <c r="I24" s="82"/>
      <c r="J24" s="97"/>
      <c r="K24" s="82"/>
      <c r="L24" s="98"/>
      <c r="M24" s="98"/>
      <c r="N24" s="82">
        <f t="shared" si="0"/>
        <v>0</v>
      </c>
      <c r="O24" s="104"/>
      <c r="P24" s="108"/>
      <c r="Q24" s="108"/>
      <c r="R24" s="104"/>
      <c r="S24" s="104"/>
      <c r="T24" s="104"/>
    </row>
    <row r="25" spans="1:20" ht="16.5" customHeight="1" x14ac:dyDescent="0.25">
      <c r="A25" s="109"/>
      <c r="B25" s="109"/>
      <c r="C25" s="112"/>
      <c r="D25" s="81">
        <v>0.5493055555555556</v>
      </c>
      <c r="E25" s="81">
        <v>0.61527777777777781</v>
      </c>
      <c r="F25" s="82" t="s">
        <v>104</v>
      </c>
      <c r="G25" s="82">
        <v>34</v>
      </c>
      <c r="H25" s="82" t="s">
        <v>59</v>
      </c>
      <c r="I25" s="82">
        <v>459</v>
      </c>
      <c r="J25" s="97"/>
      <c r="K25" s="82">
        <v>300</v>
      </c>
      <c r="L25" s="98"/>
      <c r="M25" s="98"/>
      <c r="N25" s="82">
        <f t="shared" si="0"/>
        <v>759</v>
      </c>
      <c r="O25" s="105"/>
      <c r="P25" s="109"/>
      <c r="Q25" s="109"/>
      <c r="R25" s="105"/>
      <c r="S25" s="105"/>
      <c r="T25" s="105"/>
    </row>
    <row r="26" spans="1:20" ht="19.5" customHeight="1" x14ac:dyDescent="0.25">
      <c r="A26" s="107" t="s">
        <v>49</v>
      </c>
      <c r="B26" s="107" t="s">
        <v>115</v>
      </c>
      <c r="C26" s="110">
        <v>45953</v>
      </c>
      <c r="D26" s="81">
        <v>0.40277777777777773</v>
      </c>
      <c r="E26" s="81">
        <v>0.43055555555555558</v>
      </c>
      <c r="F26" s="82" t="s">
        <v>109</v>
      </c>
      <c r="G26" s="82">
        <v>10.4</v>
      </c>
      <c r="H26" s="82" t="s">
        <v>55</v>
      </c>
      <c r="I26" s="82">
        <v>140</v>
      </c>
      <c r="J26" s="97"/>
      <c r="K26" s="95"/>
      <c r="L26" s="98"/>
      <c r="M26" s="98"/>
      <c r="N26" s="82">
        <f t="shared" si="0"/>
        <v>140</v>
      </c>
      <c r="O26" s="103" t="s">
        <v>112</v>
      </c>
      <c r="P26" s="107" t="s">
        <v>48</v>
      </c>
      <c r="Q26" s="107" t="s">
        <v>56</v>
      </c>
      <c r="R26" s="103" t="s">
        <v>113</v>
      </c>
      <c r="S26" s="103" t="s">
        <v>114</v>
      </c>
      <c r="T26" s="103" t="s">
        <v>142</v>
      </c>
    </row>
    <row r="27" spans="1:20" ht="12.75" customHeight="1" x14ac:dyDescent="0.25">
      <c r="A27" s="109"/>
      <c r="B27" s="109"/>
      <c r="C27" s="112"/>
      <c r="D27" s="81">
        <v>0.4548611111111111</v>
      </c>
      <c r="E27" s="81">
        <v>0.17013888888888887</v>
      </c>
      <c r="F27" s="82" t="s">
        <v>110</v>
      </c>
      <c r="G27" s="82">
        <v>269</v>
      </c>
      <c r="H27" s="82" t="s">
        <v>61</v>
      </c>
      <c r="I27" s="82">
        <v>959.05</v>
      </c>
      <c r="J27" s="97"/>
      <c r="K27" s="95"/>
      <c r="L27" s="95"/>
      <c r="M27" s="97"/>
      <c r="N27" s="82">
        <f t="shared" si="0"/>
        <v>959.05</v>
      </c>
      <c r="O27" s="104"/>
      <c r="P27" s="108"/>
      <c r="Q27" s="108"/>
      <c r="R27" s="104"/>
      <c r="S27" s="104"/>
      <c r="T27" s="104"/>
    </row>
    <row r="28" spans="1:20" ht="12.75" customHeight="1" x14ac:dyDescent="0.25">
      <c r="A28" s="107" t="s">
        <v>49</v>
      </c>
      <c r="B28" s="107" t="s">
        <v>115</v>
      </c>
      <c r="C28" s="110">
        <v>45954</v>
      </c>
      <c r="D28" s="81">
        <v>0.38194444444444442</v>
      </c>
      <c r="E28" s="81">
        <v>0.40277777777777773</v>
      </c>
      <c r="F28" s="82" t="s">
        <v>116</v>
      </c>
      <c r="G28" s="82">
        <v>7.26</v>
      </c>
      <c r="H28" s="82" t="s">
        <v>55</v>
      </c>
      <c r="I28" s="82">
        <v>98</v>
      </c>
      <c r="J28" s="97"/>
      <c r="K28" s="95"/>
      <c r="L28" s="95"/>
      <c r="M28" s="97"/>
      <c r="N28" s="82">
        <f t="shared" si="0"/>
        <v>98</v>
      </c>
      <c r="O28" s="104"/>
      <c r="P28" s="108"/>
      <c r="Q28" s="108"/>
      <c r="R28" s="104"/>
      <c r="S28" s="104"/>
      <c r="T28" s="104"/>
    </row>
    <row r="29" spans="1:20" ht="12.75" customHeight="1" x14ac:dyDescent="0.25">
      <c r="A29" s="108"/>
      <c r="B29" s="108"/>
      <c r="C29" s="111"/>
      <c r="D29" s="81">
        <v>0.41666666666666669</v>
      </c>
      <c r="E29" s="81">
        <v>0.75</v>
      </c>
      <c r="F29" s="82" t="s">
        <v>117</v>
      </c>
      <c r="G29" s="82"/>
      <c r="H29" s="82"/>
      <c r="I29" s="82"/>
      <c r="J29" s="83"/>
      <c r="K29" s="82">
        <v>500</v>
      </c>
      <c r="L29" s="95"/>
      <c r="M29" s="97"/>
      <c r="N29" s="82">
        <f t="shared" si="0"/>
        <v>500</v>
      </c>
      <c r="O29" s="104"/>
      <c r="P29" s="108"/>
      <c r="Q29" s="108"/>
      <c r="R29" s="104"/>
      <c r="S29" s="104"/>
      <c r="T29" s="104"/>
    </row>
    <row r="30" spans="1:20" ht="12.75" customHeight="1" x14ac:dyDescent="0.25">
      <c r="A30" s="108"/>
      <c r="B30" s="108"/>
      <c r="C30" s="111"/>
      <c r="D30" s="81">
        <v>0.81180555555555556</v>
      </c>
      <c r="E30" s="81">
        <v>0.82500000000000007</v>
      </c>
      <c r="F30" s="82" t="s">
        <v>118</v>
      </c>
      <c r="G30" s="82">
        <v>7.56</v>
      </c>
      <c r="H30" s="82" t="s">
        <v>62</v>
      </c>
      <c r="I30" s="82">
        <v>102</v>
      </c>
      <c r="J30" s="97"/>
      <c r="K30" s="95"/>
      <c r="L30" s="95"/>
      <c r="M30" s="97"/>
      <c r="N30" s="82">
        <f t="shared" si="0"/>
        <v>102</v>
      </c>
      <c r="O30" s="104"/>
      <c r="P30" s="108"/>
      <c r="Q30" s="108"/>
      <c r="R30" s="104"/>
      <c r="S30" s="104"/>
      <c r="T30" s="104"/>
    </row>
    <row r="31" spans="1:20" ht="12.75" customHeight="1" x14ac:dyDescent="0.25">
      <c r="A31" s="108"/>
      <c r="B31" s="108"/>
      <c r="C31" s="111"/>
      <c r="D31" s="81"/>
      <c r="E31" s="81"/>
      <c r="F31" s="82" t="s">
        <v>119</v>
      </c>
      <c r="G31" s="82"/>
      <c r="H31" s="82"/>
      <c r="I31" s="82"/>
      <c r="J31" s="83">
        <v>1512</v>
      </c>
      <c r="K31" s="95"/>
      <c r="L31" s="95"/>
      <c r="M31" s="97"/>
      <c r="N31" s="82">
        <f t="shared" si="0"/>
        <v>1512</v>
      </c>
      <c r="O31" s="104"/>
      <c r="P31" s="108"/>
      <c r="Q31" s="108"/>
      <c r="R31" s="104"/>
      <c r="S31" s="104"/>
      <c r="T31" s="104"/>
    </row>
    <row r="32" spans="1:20" ht="12.75" customHeight="1" x14ac:dyDescent="0.25">
      <c r="A32" s="108"/>
      <c r="B32" s="108"/>
      <c r="C32" s="111"/>
      <c r="D32" s="81">
        <v>0.83333333333333337</v>
      </c>
      <c r="E32" s="81">
        <v>0.875</v>
      </c>
      <c r="F32" s="82" t="s">
        <v>120</v>
      </c>
      <c r="G32" s="82">
        <v>40</v>
      </c>
      <c r="H32" s="82" t="s">
        <v>65</v>
      </c>
      <c r="I32" s="82">
        <v>250</v>
      </c>
      <c r="J32" s="97"/>
      <c r="K32" s="82"/>
      <c r="L32" s="95"/>
      <c r="M32" s="97"/>
      <c r="N32" s="82">
        <f t="shared" si="0"/>
        <v>250</v>
      </c>
      <c r="O32" s="104"/>
      <c r="P32" s="108"/>
      <c r="Q32" s="108"/>
      <c r="R32" s="104"/>
      <c r="S32" s="104"/>
      <c r="T32" s="104"/>
    </row>
    <row r="33" spans="1:21" ht="12.75" customHeight="1" x14ac:dyDescent="0.25">
      <c r="A33" s="109"/>
      <c r="B33" s="109"/>
      <c r="C33" s="112"/>
      <c r="D33" s="81">
        <v>0.87569444444444444</v>
      </c>
      <c r="E33" s="81">
        <v>0.89236111111111116</v>
      </c>
      <c r="F33" s="82" t="s">
        <v>121</v>
      </c>
      <c r="G33" s="82">
        <v>6</v>
      </c>
      <c r="H33" s="82" t="s">
        <v>55</v>
      </c>
      <c r="I33" s="82">
        <v>81</v>
      </c>
      <c r="J33" s="83"/>
      <c r="K33" s="95"/>
      <c r="L33" s="95"/>
      <c r="M33" s="97"/>
      <c r="N33" s="82">
        <f t="shared" si="0"/>
        <v>81</v>
      </c>
      <c r="O33" s="105"/>
      <c r="P33" s="109"/>
      <c r="Q33" s="109"/>
      <c r="R33" s="105"/>
      <c r="S33" s="105"/>
      <c r="T33" s="105"/>
    </row>
    <row r="34" spans="1:21" ht="12.75" customHeight="1" x14ac:dyDescent="0.25">
      <c r="A34" s="107" t="s">
        <v>49</v>
      </c>
      <c r="B34" s="107" t="s">
        <v>115</v>
      </c>
      <c r="C34" s="110">
        <v>45955</v>
      </c>
      <c r="D34" s="81">
        <v>0.33333333333333331</v>
      </c>
      <c r="E34" s="81">
        <v>0.34722222222222227</v>
      </c>
      <c r="F34" s="82" t="s">
        <v>125</v>
      </c>
      <c r="G34" s="82">
        <v>4</v>
      </c>
      <c r="H34" s="82" t="s">
        <v>126</v>
      </c>
      <c r="I34" s="82">
        <v>54</v>
      </c>
      <c r="J34" s="83"/>
      <c r="K34" s="95"/>
      <c r="L34" s="95"/>
      <c r="M34" s="97"/>
      <c r="N34" s="82">
        <f t="shared" si="0"/>
        <v>54</v>
      </c>
      <c r="O34" s="103" t="s">
        <v>135</v>
      </c>
      <c r="P34" s="107" t="s">
        <v>48</v>
      </c>
      <c r="Q34" s="122" t="s">
        <v>56</v>
      </c>
      <c r="R34" s="103" t="s">
        <v>137</v>
      </c>
      <c r="S34" s="103" t="s">
        <v>138</v>
      </c>
      <c r="T34" s="103" t="s">
        <v>141</v>
      </c>
    </row>
    <row r="35" spans="1:21" ht="12.75" customHeight="1" x14ac:dyDescent="0.25">
      <c r="A35" s="108"/>
      <c r="B35" s="108"/>
      <c r="C35" s="111"/>
      <c r="D35" s="81">
        <v>0.35069444444444442</v>
      </c>
      <c r="E35" s="81">
        <v>0.43402777777777773</v>
      </c>
      <c r="F35" s="82" t="s">
        <v>127</v>
      </c>
      <c r="G35" s="82"/>
      <c r="H35" s="82"/>
      <c r="I35" s="82"/>
      <c r="J35" s="83"/>
      <c r="K35" s="95"/>
      <c r="L35" s="95"/>
      <c r="M35" s="97"/>
      <c r="N35" s="82">
        <f t="shared" si="0"/>
        <v>0</v>
      </c>
      <c r="O35" s="104"/>
      <c r="P35" s="108"/>
      <c r="Q35" s="122"/>
      <c r="R35" s="104"/>
      <c r="S35" s="104"/>
      <c r="T35" s="104"/>
    </row>
    <row r="36" spans="1:21" ht="12.75" customHeight="1" x14ac:dyDescent="0.25">
      <c r="A36" s="108"/>
      <c r="B36" s="108"/>
      <c r="C36" s="111"/>
      <c r="D36" s="81">
        <v>0.43472222222222223</v>
      </c>
      <c r="E36" s="81">
        <v>0.4548611111111111</v>
      </c>
      <c r="F36" s="82" t="s">
        <v>128</v>
      </c>
      <c r="G36" s="82">
        <v>5</v>
      </c>
      <c r="H36" s="82" t="s">
        <v>55</v>
      </c>
      <c r="I36" s="82">
        <v>76</v>
      </c>
      <c r="J36" s="83"/>
      <c r="K36" s="95"/>
      <c r="L36" s="95"/>
      <c r="M36" s="97"/>
      <c r="N36" s="82">
        <f t="shared" si="0"/>
        <v>76</v>
      </c>
      <c r="O36" s="104"/>
      <c r="P36" s="108"/>
      <c r="Q36" s="122"/>
      <c r="R36" s="104"/>
      <c r="S36" s="104"/>
      <c r="T36" s="104"/>
    </row>
    <row r="37" spans="1:21" ht="12.75" customHeight="1" x14ac:dyDescent="0.25">
      <c r="A37" s="108"/>
      <c r="B37" s="108"/>
      <c r="C37" s="111"/>
      <c r="D37" s="81">
        <v>0.45833333333333331</v>
      </c>
      <c r="E37" s="81">
        <v>0.66666666666666663</v>
      </c>
      <c r="F37" s="82" t="s">
        <v>129</v>
      </c>
      <c r="G37" s="82"/>
      <c r="H37" s="82"/>
      <c r="I37" s="82"/>
      <c r="J37" s="97"/>
      <c r="K37" s="82">
        <v>500</v>
      </c>
      <c r="L37" s="95"/>
      <c r="M37" s="97"/>
      <c r="N37" s="82">
        <f t="shared" si="0"/>
        <v>500</v>
      </c>
      <c r="O37" s="104"/>
      <c r="P37" s="108"/>
      <c r="Q37" s="122"/>
      <c r="R37" s="104"/>
      <c r="S37" s="104"/>
      <c r="T37" s="104"/>
    </row>
    <row r="38" spans="1:21" ht="12.75" customHeight="1" x14ac:dyDescent="0.25">
      <c r="A38" s="108"/>
      <c r="B38" s="108"/>
      <c r="C38" s="111"/>
      <c r="D38" s="81">
        <v>0.66736111111111107</v>
      </c>
      <c r="E38" s="81">
        <v>0.69861111111111107</v>
      </c>
      <c r="F38" s="82" t="s">
        <v>130</v>
      </c>
      <c r="G38" s="82">
        <v>9</v>
      </c>
      <c r="H38" s="82" t="s">
        <v>131</v>
      </c>
      <c r="I38" s="82">
        <v>121</v>
      </c>
      <c r="J38" s="83"/>
      <c r="K38" s="83"/>
      <c r="L38" s="95"/>
      <c r="M38" s="97"/>
      <c r="N38" s="82">
        <f t="shared" si="0"/>
        <v>121</v>
      </c>
      <c r="O38" s="104"/>
      <c r="P38" s="108"/>
      <c r="Q38" s="122"/>
      <c r="R38" s="104"/>
      <c r="S38" s="104"/>
      <c r="T38" s="104"/>
    </row>
    <row r="39" spans="1:21" ht="12.75" customHeight="1" x14ac:dyDescent="0.25">
      <c r="A39" s="108"/>
      <c r="B39" s="108"/>
      <c r="C39" s="111"/>
      <c r="D39" s="81">
        <v>0.92361111111111116</v>
      </c>
      <c r="E39" s="81">
        <v>0.9375</v>
      </c>
      <c r="F39" s="82" t="s">
        <v>132</v>
      </c>
      <c r="G39" s="82">
        <v>3</v>
      </c>
      <c r="H39" s="82" t="s">
        <v>131</v>
      </c>
      <c r="I39" s="82">
        <v>40</v>
      </c>
      <c r="J39" s="97"/>
      <c r="K39" s="95"/>
      <c r="L39" s="95"/>
      <c r="M39" s="97"/>
      <c r="N39" s="82">
        <f t="shared" si="0"/>
        <v>40</v>
      </c>
      <c r="O39" s="104"/>
      <c r="P39" s="108"/>
      <c r="Q39" s="122"/>
      <c r="R39" s="104"/>
      <c r="S39" s="104"/>
      <c r="T39" s="104"/>
    </row>
    <row r="40" spans="1:21" ht="12.75" customHeight="1" x14ac:dyDescent="0.25">
      <c r="A40" s="108"/>
      <c r="B40" s="108"/>
      <c r="C40" s="111"/>
      <c r="D40" s="81"/>
      <c r="E40" s="81"/>
      <c r="F40" s="82" t="s">
        <v>133</v>
      </c>
      <c r="G40" s="82"/>
      <c r="H40" s="82"/>
      <c r="I40" s="82"/>
      <c r="J40" s="83">
        <v>1624</v>
      </c>
      <c r="K40" s="95"/>
      <c r="L40" s="95"/>
      <c r="M40" s="97"/>
      <c r="N40" s="82">
        <f t="shared" si="0"/>
        <v>1624</v>
      </c>
      <c r="O40" s="104"/>
      <c r="P40" s="108"/>
      <c r="Q40" s="122"/>
      <c r="R40" s="104"/>
      <c r="S40" s="104"/>
      <c r="T40" s="104"/>
    </row>
    <row r="41" spans="1:21" ht="12.75" customHeight="1" x14ac:dyDescent="0.25">
      <c r="A41" s="109"/>
      <c r="B41" s="109"/>
      <c r="C41" s="112"/>
      <c r="D41" s="81">
        <v>0.96527777777777779</v>
      </c>
      <c r="E41" s="81">
        <v>0.25694444444444448</v>
      </c>
      <c r="F41" s="82" t="s">
        <v>134</v>
      </c>
      <c r="G41" s="82">
        <v>350</v>
      </c>
      <c r="H41" s="82" t="s">
        <v>61</v>
      </c>
      <c r="I41" s="82">
        <v>944.05</v>
      </c>
      <c r="J41" s="83"/>
      <c r="K41" s="85"/>
      <c r="L41" s="95"/>
      <c r="M41" s="97"/>
      <c r="N41" s="82">
        <f t="shared" si="0"/>
        <v>944.05</v>
      </c>
      <c r="O41" s="104"/>
      <c r="P41" s="108"/>
      <c r="Q41" s="122"/>
      <c r="R41" s="104"/>
      <c r="S41" s="104"/>
      <c r="T41" s="104"/>
    </row>
    <row r="42" spans="1:21" ht="12.75" customHeight="1" x14ac:dyDescent="0.25">
      <c r="A42" s="95" t="s">
        <v>49</v>
      </c>
      <c r="B42" s="82" t="s">
        <v>115</v>
      </c>
      <c r="C42" s="100">
        <v>45956</v>
      </c>
      <c r="D42" s="81">
        <v>0.2638888888888889</v>
      </c>
      <c r="E42" s="81">
        <v>0.2986111111111111</v>
      </c>
      <c r="F42" s="82" t="s">
        <v>136</v>
      </c>
      <c r="G42" s="82">
        <v>12</v>
      </c>
      <c r="H42" s="82" t="s">
        <v>55</v>
      </c>
      <c r="I42" s="82">
        <v>162</v>
      </c>
      <c r="J42" s="97"/>
      <c r="K42" s="95"/>
      <c r="L42" s="95"/>
      <c r="M42" s="97"/>
      <c r="N42" s="82">
        <f t="shared" si="0"/>
        <v>162</v>
      </c>
      <c r="O42" s="105"/>
      <c r="P42" s="109"/>
      <c r="Q42" s="122"/>
      <c r="R42" s="105"/>
      <c r="S42" s="105"/>
      <c r="T42" s="105"/>
    </row>
    <row r="43" spans="1:21" ht="21.75" customHeight="1" x14ac:dyDescent="0.25">
      <c r="A43" s="95"/>
      <c r="B43" s="95"/>
      <c r="C43" s="102"/>
      <c r="D43" s="81"/>
      <c r="E43" s="81"/>
      <c r="F43" s="82"/>
      <c r="G43" s="82"/>
      <c r="H43" s="82"/>
      <c r="I43" s="82"/>
      <c r="J43" s="97"/>
      <c r="K43" s="82"/>
      <c r="L43" s="95"/>
      <c r="M43" s="97"/>
      <c r="N43" s="82">
        <f t="shared" si="0"/>
        <v>0</v>
      </c>
      <c r="O43" s="101"/>
      <c r="P43" s="95"/>
      <c r="Q43" s="95"/>
      <c r="R43" s="101"/>
      <c r="S43" s="101"/>
      <c r="T43" s="101"/>
    </row>
    <row r="44" spans="1:21" ht="15.75" customHeight="1" x14ac:dyDescent="0.25">
      <c r="A44" s="95"/>
      <c r="B44" s="95"/>
      <c r="C44" s="96"/>
      <c r="D44" s="81"/>
      <c r="E44" s="81"/>
      <c r="F44" s="82"/>
      <c r="G44" s="82"/>
      <c r="H44" s="82"/>
      <c r="I44" s="82"/>
      <c r="J44" s="83"/>
      <c r="K44" s="83"/>
      <c r="L44" s="83"/>
      <c r="M44" s="83"/>
      <c r="N44" s="82">
        <f t="shared" si="0"/>
        <v>0</v>
      </c>
      <c r="O44" s="85"/>
      <c r="P44" s="82"/>
      <c r="Q44" s="95"/>
      <c r="R44" s="101"/>
      <c r="S44" s="101"/>
      <c r="T44" s="101"/>
    </row>
    <row r="45" spans="1:21" x14ac:dyDescent="0.25">
      <c r="A45" s="82"/>
      <c r="B45" s="82"/>
      <c r="C45" s="82"/>
      <c r="D45" s="81"/>
      <c r="E45" s="81"/>
      <c r="F45" s="82"/>
      <c r="G45" s="82"/>
      <c r="H45" s="82"/>
      <c r="I45" s="83">
        <f t="shared" ref="I45:N45" si="1">SUM(I5:I44)</f>
        <v>7374.1</v>
      </c>
      <c r="J45" s="83">
        <f t="shared" si="1"/>
        <v>3136</v>
      </c>
      <c r="K45" s="83">
        <f t="shared" si="1"/>
        <v>1900</v>
      </c>
      <c r="L45" s="83">
        <f t="shared" si="1"/>
        <v>400</v>
      </c>
      <c r="M45" s="83">
        <f t="shared" si="1"/>
        <v>400</v>
      </c>
      <c r="N45" s="83">
        <f t="shared" si="1"/>
        <v>13210.099999999999</v>
      </c>
      <c r="O45" s="83"/>
      <c r="P45" s="82"/>
      <c r="Q45" s="82"/>
      <c r="R45" s="82"/>
      <c r="S45" s="82"/>
      <c r="T45" s="82"/>
    </row>
    <row r="46" spans="1:21" x14ac:dyDescent="0.25">
      <c r="H46" s="82"/>
    </row>
    <row r="47" spans="1:21" ht="13.8" x14ac:dyDescent="0.25">
      <c r="A47" s="2"/>
      <c r="B47" s="3"/>
      <c r="C47" s="4" t="s">
        <v>11</v>
      </c>
      <c r="D47" s="115">
        <v>45961</v>
      </c>
      <c r="E47" s="115"/>
      <c r="F47" s="5"/>
      <c r="G47" s="6"/>
      <c r="I47" s="7"/>
      <c r="J47" s="7"/>
      <c r="K47" s="7"/>
      <c r="L47" s="7"/>
      <c r="M47" s="7"/>
      <c r="N47" s="7"/>
      <c r="O47" s="7"/>
      <c r="P47" s="8"/>
      <c r="Q47" s="9"/>
      <c r="R47" s="8"/>
      <c r="S47" s="8"/>
      <c r="T47" s="10" t="s">
        <v>12</v>
      </c>
      <c r="U47" s="11"/>
    </row>
    <row r="48" spans="1:21" ht="13.8" x14ac:dyDescent="0.25">
      <c r="A48" s="2"/>
      <c r="B48" s="3"/>
      <c r="C48" s="4"/>
      <c r="D48" s="12"/>
      <c r="E48" s="12"/>
      <c r="G48" s="6"/>
      <c r="H48" s="7"/>
      <c r="I48" s="7"/>
      <c r="J48" s="7"/>
      <c r="K48" s="7"/>
      <c r="L48" s="7"/>
      <c r="M48" s="7"/>
      <c r="N48" s="7"/>
      <c r="O48" s="7"/>
      <c r="P48" s="8"/>
      <c r="Q48" s="9"/>
      <c r="R48" s="8"/>
      <c r="S48" s="8"/>
      <c r="T48" s="10"/>
      <c r="U48" s="11"/>
    </row>
    <row r="49" spans="1:26" ht="13.8" x14ac:dyDescent="0.25">
      <c r="A49" s="2"/>
      <c r="B49" s="3"/>
      <c r="C49" s="113" t="s">
        <v>13</v>
      </c>
      <c r="D49" s="113"/>
      <c r="E49" s="113"/>
      <c r="F49" s="5"/>
      <c r="G49" s="6"/>
      <c r="H49" s="7"/>
      <c r="I49" s="7"/>
      <c r="J49" s="114" t="s">
        <v>14</v>
      </c>
      <c r="K49" s="114"/>
      <c r="L49" s="7"/>
      <c r="M49" s="7"/>
      <c r="N49" s="7"/>
      <c r="O49" s="7"/>
      <c r="P49" s="8"/>
      <c r="Q49" s="9"/>
      <c r="R49" s="8"/>
      <c r="S49" s="8"/>
      <c r="T49" s="13" t="s">
        <v>15</v>
      </c>
      <c r="U49" s="14"/>
    </row>
    <row r="50" spans="1:26" ht="13.8" x14ac:dyDescent="0.25">
      <c r="A50" s="2"/>
      <c r="B50" s="3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8"/>
      <c r="Q50" s="9"/>
      <c r="R50" s="8"/>
      <c r="S50" s="8"/>
      <c r="T50" s="3"/>
      <c r="U50" s="15"/>
    </row>
    <row r="51" spans="1:26" ht="13.8" x14ac:dyDescent="0.25">
      <c r="A51" s="2" t="s">
        <v>16</v>
      </c>
      <c r="B51" s="3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8"/>
      <c r="Q51" s="9"/>
      <c r="R51" s="8"/>
      <c r="S51" s="8"/>
      <c r="T51" s="3"/>
      <c r="U51" s="15"/>
    </row>
    <row r="52" spans="1:26" ht="13.8" x14ac:dyDescent="0.25">
      <c r="A52" s="2"/>
      <c r="B52" s="3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8"/>
      <c r="Q52" s="9"/>
      <c r="R52" s="8"/>
      <c r="S52" s="8"/>
      <c r="T52" s="3"/>
      <c r="U52" s="15"/>
    </row>
    <row r="53" spans="1:26" ht="13.8" x14ac:dyDescent="0.25">
      <c r="A53" s="2"/>
      <c r="B53" s="3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8"/>
      <c r="Q53" s="9"/>
      <c r="R53" s="8"/>
      <c r="S53" s="8"/>
      <c r="T53" s="3"/>
      <c r="U53" s="15"/>
    </row>
    <row r="54" spans="1:26" ht="13.8" x14ac:dyDescent="0.25">
      <c r="A54" s="2"/>
      <c r="B54" s="3"/>
      <c r="C54" s="16"/>
      <c r="D54" s="16"/>
      <c r="E54" s="16"/>
      <c r="F54" s="5"/>
      <c r="G54" s="6"/>
      <c r="H54" s="7"/>
      <c r="I54" s="7"/>
      <c r="J54" s="7"/>
      <c r="K54" s="7"/>
      <c r="L54" s="7"/>
      <c r="M54" s="7"/>
      <c r="N54" s="7"/>
      <c r="O54" s="7"/>
      <c r="P54" s="8"/>
      <c r="Q54" s="9"/>
      <c r="R54" s="8"/>
      <c r="S54" s="8"/>
      <c r="T54" s="13"/>
      <c r="U54" s="14"/>
    </row>
    <row r="55" spans="1:26" ht="13.8" x14ac:dyDescent="0.25">
      <c r="A55" s="2"/>
      <c r="B55" s="3"/>
      <c r="C55" s="16"/>
      <c r="D55" s="16"/>
      <c r="E55" s="16"/>
      <c r="F55" s="5"/>
      <c r="G55" s="6"/>
      <c r="H55" s="7"/>
      <c r="I55" s="7"/>
      <c r="J55" s="7"/>
      <c r="K55" s="7"/>
      <c r="L55" s="7"/>
      <c r="M55" s="7"/>
      <c r="N55" s="7"/>
      <c r="O55" s="7"/>
      <c r="P55" s="8"/>
      <c r="Q55" s="9"/>
      <c r="R55" s="8"/>
      <c r="S55" s="8"/>
      <c r="T55" s="13"/>
      <c r="U55" s="14"/>
    </row>
    <row r="56" spans="1:26" ht="13.8" x14ac:dyDescent="0.25">
      <c r="A56" s="2"/>
      <c r="B56" s="3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8"/>
      <c r="Q56" s="9"/>
      <c r="R56" s="8"/>
      <c r="S56" s="8"/>
      <c r="T56" s="3"/>
      <c r="U56" s="15"/>
    </row>
    <row r="57" spans="1:26" ht="13.8" x14ac:dyDescent="0.25">
      <c r="A57" s="2"/>
      <c r="B57" s="3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8"/>
      <c r="Q57" s="9"/>
      <c r="R57" s="8"/>
      <c r="S57" s="8"/>
      <c r="T57" s="3"/>
      <c r="U57" s="15"/>
    </row>
    <row r="58" spans="1:26" ht="17.399999999999999" x14ac:dyDescent="0.3">
      <c r="A58" s="2"/>
      <c r="B58" s="3"/>
      <c r="C58" s="17"/>
      <c r="D58" s="18"/>
      <c r="E58" s="18"/>
      <c r="F58" s="19"/>
      <c r="G58" s="20"/>
      <c r="H58" s="7"/>
      <c r="I58" s="18"/>
      <c r="J58" s="18"/>
      <c r="K58" s="18"/>
      <c r="L58" s="18"/>
      <c r="M58" s="21"/>
      <c r="N58" s="21"/>
      <c r="O58" s="21"/>
      <c r="P58" s="22"/>
      <c r="Q58" s="23"/>
      <c r="R58" s="22"/>
      <c r="S58" s="22"/>
      <c r="T58" s="24"/>
      <c r="U58" s="25"/>
    </row>
    <row r="59" spans="1:26" ht="15" x14ac:dyDescent="0.25">
      <c r="A59" s="2"/>
      <c r="B59" s="3"/>
      <c r="C59" s="7"/>
      <c r="D59" s="26"/>
      <c r="E59" s="26"/>
      <c r="F59" s="26"/>
      <c r="G59" s="27"/>
      <c r="H59" s="18" t="s">
        <v>17</v>
      </c>
      <c r="I59" s="26"/>
      <c r="J59" s="26"/>
      <c r="K59" s="26"/>
      <c r="L59" s="26"/>
      <c r="M59" s="28"/>
      <c r="N59" s="28"/>
      <c r="O59" s="28"/>
      <c r="P59" s="29"/>
      <c r="Q59" s="30"/>
      <c r="R59" s="29"/>
      <c r="S59" s="29"/>
      <c r="T59" s="31" t="s">
        <v>18</v>
      </c>
      <c r="U59" s="14"/>
    </row>
    <row r="60" spans="1:26" ht="13.8" x14ac:dyDescent="0.25">
      <c r="A60" s="2"/>
      <c r="B60" s="3"/>
      <c r="C60" s="32" t="s">
        <v>19</v>
      </c>
      <c r="D60" s="33"/>
      <c r="E60" s="34" t="s">
        <v>47</v>
      </c>
      <c r="F60" s="7"/>
      <c r="G60" s="35"/>
      <c r="H60" s="26"/>
      <c r="I60" s="36"/>
      <c r="J60" s="37" t="s">
        <v>20</v>
      </c>
      <c r="K60" s="37"/>
      <c r="L60" s="37"/>
      <c r="M60" s="38"/>
      <c r="N60" s="38"/>
      <c r="O60" s="38"/>
      <c r="P60" s="39"/>
      <c r="Q60" s="40"/>
      <c r="R60" s="39"/>
      <c r="S60" s="39"/>
      <c r="T60" s="37"/>
      <c r="U60" s="41"/>
    </row>
    <row r="61" spans="1:26" ht="13.8" x14ac:dyDescent="0.25">
      <c r="A61" s="2"/>
      <c r="B61" s="3"/>
      <c r="C61" s="4"/>
      <c r="D61" s="5"/>
      <c r="E61" s="34"/>
      <c r="F61" s="7"/>
      <c r="G61" s="42"/>
      <c r="H61" s="36"/>
      <c r="I61" s="43"/>
      <c r="J61" s="44" t="s">
        <v>21</v>
      </c>
      <c r="K61" s="45"/>
      <c r="L61" s="45"/>
      <c r="M61" s="46"/>
      <c r="N61" s="46"/>
      <c r="O61" s="46"/>
      <c r="P61" s="47"/>
      <c r="Q61" s="48" t="s">
        <v>22</v>
      </c>
      <c r="R61" s="47"/>
      <c r="S61" s="47"/>
      <c r="T61" s="49">
        <f>I45</f>
        <v>7374.1</v>
      </c>
      <c r="U61" s="50"/>
    </row>
    <row r="62" spans="1:26" ht="13.8" x14ac:dyDescent="0.25">
      <c r="A62" s="2"/>
      <c r="B62" s="3"/>
      <c r="C62" s="4" t="s">
        <v>23</v>
      </c>
      <c r="D62" s="5"/>
      <c r="E62" s="34" t="s">
        <v>50</v>
      </c>
      <c r="F62" s="7"/>
      <c r="G62" s="42"/>
      <c r="H62" s="43"/>
      <c r="I62" s="43"/>
      <c r="J62" s="44" t="s">
        <v>9</v>
      </c>
      <c r="K62" s="45"/>
      <c r="L62" s="45"/>
      <c r="M62" s="46"/>
      <c r="N62" s="46"/>
      <c r="O62" s="46"/>
      <c r="P62" s="47"/>
      <c r="Q62" s="48" t="s">
        <v>22</v>
      </c>
      <c r="R62" s="47"/>
      <c r="S62" s="47"/>
      <c r="T62" s="49">
        <f>J45</f>
        <v>3136</v>
      </c>
      <c r="U62" s="50"/>
    </row>
    <row r="63" spans="1:26" ht="13.8" x14ac:dyDescent="0.25">
      <c r="A63" s="2"/>
      <c r="B63" s="3"/>
      <c r="C63" s="4"/>
      <c r="D63" s="5"/>
      <c r="E63" s="34"/>
      <c r="F63" s="7"/>
      <c r="G63" s="42"/>
      <c r="H63" s="43"/>
      <c r="I63" s="43"/>
      <c r="J63" s="44" t="s">
        <v>24</v>
      </c>
      <c r="K63" s="45"/>
      <c r="L63" s="45"/>
      <c r="M63" s="46"/>
      <c r="N63" s="46"/>
      <c r="O63" s="46"/>
      <c r="P63" s="47"/>
      <c r="Q63" s="48" t="s">
        <v>22</v>
      </c>
      <c r="R63" s="47"/>
      <c r="S63" s="47"/>
      <c r="T63" s="49">
        <f>K45</f>
        <v>1900</v>
      </c>
      <c r="U63" s="50"/>
      <c r="W63" s="87" t="s">
        <v>124</v>
      </c>
      <c r="X63" s="87"/>
      <c r="Y63" s="87"/>
      <c r="Z63" s="93"/>
    </row>
    <row r="64" spans="1:26" ht="13.8" x14ac:dyDescent="0.25">
      <c r="A64" s="2"/>
      <c r="B64" s="3"/>
      <c r="C64" s="4" t="s">
        <v>25</v>
      </c>
      <c r="D64" s="5"/>
      <c r="E64" s="34" t="s">
        <v>64</v>
      </c>
      <c r="F64" s="7"/>
      <c r="G64" s="42"/>
      <c r="H64" s="43"/>
      <c r="I64" s="43"/>
      <c r="J64" s="44" t="s">
        <v>26</v>
      </c>
      <c r="K64" s="45"/>
      <c r="L64" s="45"/>
      <c r="M64" s="46"/>
      <c r="N64" s="46"/>
      <c r="O64" s="46"/>
      <c r="P64" s="47"/>
      <c r="Q64" s="48" t="s">
        <v>22</v>
      </c>
      <c r="R64" s="47"/>
      <c r="S64" s="47"/>
      <c r="T64" s="49" t="e">
        <f>#REF!</f>
        <v>#REF!</v>
      </c>
      <c r="U64" s="50"/>
      <c r="W64" s="87" t="s">
        <v>122</v>
      </c>
      <c r="X64" s="87" t="s">
        <v>52</v>
      </c>
      <c r="Y64" s="87" t="s">
        <v>53</v>
      </c>
      <c r="Z64" s="94"/>
    </row>
    <row r="65" spans="1:26" ht="13.8" x14ac:dyDescent="0.25">
      <c r="A65" s="2"/>
      <c r="B65" s="3"/>
      <c r="C65" s="4"/>
      <c r="D65" s="5"/>
      <c r="E65" s="34"/>
      <c r="F65" s="51"/>
      <c r="G65" s="42"/>
      <c r="H65" s="43"/>
      <c r="I65" s="43"/>
      <c r="J65" s="44" t="s">
        <v>10</v>
      </c>
      <c r="K65" s="45"/>
      <c r="L65" s="45"/>
      <c r="M65" s="46"/>
      <c r="N65" s="46"/>
      <c r="O65" s="46"/>
      <c r="P65" s="47"/>
      <c r="Q65" s="48" t="s">
        <v>22</v>
      </c>
      <c r="R65" s="47"/>
      <c r="S65" s="47"/>
      <c r="T65" s="49">
        <f>L45</f>
        <v>400</v>
      </c>
      <c r="U65" s="50"/>
      <c r="W65" s="87" t="s">
        <v>123</v>
      </c>
      <c r="Y65" s="87"/>
      <c r="Z65" s="87"/>
    </row>
    <row r="66" spans="1:26" ht="13.8" x14ac:dyDescent="0.25">
      <c r="A66" s="2"/>
      <c r="B66" s="3"/>
      <c r="C66" s="4" t="s">
        <v>27</v>
      </c>
      <c r="D66" s="5"/>
      <c r="E66" s="34" t="s">
        <v>46</v>
      </c>
      <c r="F66" s="51"/>
      <c r="G66" s="42"/>
      <c r="H66" s="43"/>
      <c r="I66" s="43"/>
      <c r="J66" s="44" t="s">
        <v>28</v>
      </c>
      <c r="K66" s="45"/>
      <c r="L66" s="45"/>
      <c r="M66" s="46"/>
      <c r="N66" s="46"/>
      <c r="O66" s="46"/>
      <c r="P66" s="47"/>
      <c r="Q66" s="48" t="s">
        <v>22</v>
      </c>
      <c r="R66" s="47"/>
      <c r="S66" s="47"/>
      <c r="T66" s="49">
        <f>M45</f>
        <v>400</v>
      </c>
      <c r="U66" s="50"/>
    </row>
    <row r="67" spans="1:26" ht="13.8" x14ac:dyDescent="0.25">
      <c r="A67" s="2"/>
      <c r="B67" s="3"/>
      <c r="C67" s="4"/>
      <c r="D67" s="5"/>
      <c r="E67" s="34"/>
      <c r="F67" s="43"/>
      <c r="G67" s="42"/>
      <c r="H67" s="43"/>
      <c r="I67" s="43"/>
      <c r="J67" s="44"/>
      <c r="K67" s="45"/>
      <c r="L67" s="45"/>
      <c r="M67" s="46"/>
      <c r="N67" s="46"/>
      <c r="O67" s="46"/>
      <c r="P67" s="47"/>
      <c r="Q67" s="48"/>
      <c r="R67" s="47"/>
      <c r="S67" s="47"/>
      <c r="T67" s="49"/>
      <c r="U67" s="50"/>
      <c r="Y67" s="87"/>
      <c r="Z67" s="94"/>
    </row>
    <row r="68" spans="1:26" ht="13.8" x14ac:dyDescent="0.25">
      <c r="A68" s="2"/>
      <c r="B68" s="3"/>
      <c r="C68" s="4" t="s">
        <v>29</v>
      </c>
      <c r="D68" s="5"/>
      <c r="E68" s="34" t="s">
        <v>30</v>
      </c>
      <c r="F68" s="43"/>
      <c r="G68" s="42"/>
      <c r="H68" s="43"/>
      <c r="I68" s="43"/>
      <c r="J68" s="52" t="s">
        <v>31</v>
      </c>
      <c r="K68" s="53"/>
      <c r="L68" s="53"/>
      <c r="M68" s="54"/>
      <c r="N68" s="54"/>
      <c r="O68" s="54"/>
      <c r="P68" s="55"/>
      <c r="Q68" s="56" t="s">
        <v>22</v>
      </c>
      <c r="R68" s="55"/>
      <c r="S68" s="55"/>
      <c r="T68" s="57" t="e">
        <f>SUM(T61:T66)</f>
        <v>#REF!</v>
      </c>
      <c r="U68" s="58"/>
    </row>
    <row r="69" spans="1:26" ht="13.8" x14ac:dyDescent="0.25">
      <c r="A69" s="2"/>
      <c r="B69" s="3"/>
      <c r="C69" s="4"/>
      <c r="D69" s="5"/>
      <c r="E69" s="34"/>
      <c r="F69" s="43"/>
      <c r="G69" s="42"/>
      <c r="H69" s="43"/>
      <c r="I69" s="43"/>
      <c r="J69" s="59"/>
      <c r="K69" s="60"/>
      <c r="L69" s="60"/>
      <c r="M69" s="61"/>
      <c r="N69" s="61"/>
      <c r="O69" s="61"/>
      <c r="P69" s="62"/>
      <c r="Q69" s="63"/>
      <c r="R69" s="62"/>
      <c r="S69" s="62"/>
      <c r="T69" s="64"/>
      <c r="U69" s="65"/>
    </row>
    <row r="70" spans="1:26" ht="13.8" x14ac:dyDescent="0.25">
      <c r="A70" s="2"/>
      <c r="B70" s="3"/>
      <c r="C70" s="4" t="s">
        <v>32</v>
      </c>
      <c r="D70" s="5"/>
      <c r="E70" s="34" t="s">
        <v>33</v>
      </c>
      <c r="F70" s="43"/>
      <c r="G70" s="42"/>
      <c r="H70" s="43"/>
      <c r="I70" s="43"/>
      <c r="J70" s="45"/>
      <c r="K70" s="45"/>
      <c r="L70" s="45"/>
      <c r="M70" s="46"/>
      <c r="N70" s="46"/>
      <c r="O70" s="46"/>
      <c r="P70" s="47"/>
      <c r="Q70" s="66"/>
      <c r="R70" s="47"/>
      <c r="S70" s="47"/>
      <c r="T70" s="49"/>
      <c r="U70" s="50"/>
    </row>
    <row r="71" spans="1:26" ht="13.8" x14ac:dyDescent="0.25">
      <c r="A71" s="2"/>
      <c r="B71" s="3"/>
      <c r="C71" s="68"/>
      <c r="D71" s="69"/>
      <c r="E71" s="69"/>
      <c r="F71" s="69"/>
      <c r="G71" s="70"/>
      <c r="H71" s="43"/>
      <c r="I71" s="45"/>
      <c r="J71" s="45" t="s">
        <v>34</v>
      </c>
      <c r="K71" s="45"/>
      <c r="L71" s="45"/>
      <c r="M71" s="46"/>
      <c r="N71" s="46"/>
      <c r="O71" s="46"/>
      <c r="P71" s="47"/>
      <c r="Q71" s="66"/>
      <c r="R71" s="47"/>
      <c r="S71" s="47"/>
      <c r="T71" s="67"/>
      <c r="U71" s="50"/>
    </row>
    <row r="72" spans="1:26" ht="13.8" x14ac:dyDescent="0.25">
      <c r="A72" s="2"/>
      <c r="B72" s="3"/>
      <c r="C72" s="4"/>
      <c r="D72" s="5"/>
      <c r="E72" s="5"/>
      <c r="F72" s="5"/>
      <c r="G72" s="71"/>
      <c r="H72" s="45"/>
      <c r="I72" s="45"/>
      <c r="J72" s="45"/>
      <c r="K72" s="45"/>
      <c r="L72" s="45"/>
      <c r="M72" s="46"/>
      <c r="N72" s="46"/>
      <c r="O72" s="46"/>
      <c r="P72" s="47"/>
      <c r="Q72" s="66"/>
      <c r="R72" s="47"/>
      <c r="S72" s="47"/>
      <c r="T72" s="67"/>
      <c r="U72" s="50"/>
      <c r="V72" s="89"/>
    </row>
    <row r="73" spans="1:26" ht="13.8" x14ac:dyDescent="0.25">
      <c r="A73" s="2"/>
      <c r="B73" s="3"/>
      <c r="C73" s="1" t="s">
        <v>35</v>
      </c>
      <c r="F73" s="72"/>
      <c r="G73" s="71"/>
      <c r="H73" s="45"/>
      <c r="I73" s="45"/>
      <c r="J73" s="44" t="s">
        <v>36</v>
      </c>
      <c r="K73" s="45"/>
      <c r="L73" s="45"/>
      <c r="M73" s="46"/>
      <c r="N73" s="46"/>
      <c r="O73" s="46"/>
      <c r="P73" s="47"/>
      <c r="Q73" s="48" t="s">
        <v>22</v>
      </c>
      <c r="R73" s="47"/>
      <c r="S73" s="47"/>
      <c r="T73" s="73">
        <v>8000</v>
      </c>
      <c r="U73" s="106"/>
      <c r="V73" s="106"/>
    </row>
    <row r="74" spans="1:26" ht="13.8" x14ac:dyDescent="0.25">
      <c r="A74" s="2"/>
      <c r="B74" s="3"/>
      <c r="C74" s="116" t="s">
        <v>37</v>
      </c>
      <c r="D74" s="116"/>
      <c r="E74" s="116"/>
      <c r="F74" s="72"/>
      <c r="G74" s="42"/>
      <c r="H74" s="45"/>
      <c r="I74" s="75"/>
      <c r="J74" s="44" t="s">
        <v>38</v>
      </c>
      <c r="K74" s="45"/>
      <c r="L74" s="45"/>
      <c r="M74" s="46"/>
      <c r="N74" s="46"/>
      <c r="O74" s="46"/>
      <c r="P74" s="47"/>
      <c r="Q74" s="48" t="s">
        <v>22</v>
      </c>
      <c r="R74" s="47"/>
      <c r="S74" s="47"/>
      <c r="T74" s="73"/>
      <c r="U74" s="87"/>
    </row>
    <row r="75" spans="1:26" ht="13.8" x14ac:dyDescent="0.25">
      <c r="A75" s="2"/>
      <c r="B75" s="3"/>
      <c r="C75" s="116" t="s">
        <v>39</v>
      </c>
      <c r="D75" s="116"/>
      <c r="E75" s="116"/>
      <c r="F75" s="72">
        <v>0</v>
      </c>
      <c r="G75" s="42"/>
      <c r="H75" s="75"/>
      <c r="I75" s="43"/>
      <c r="J75" s="44" t="s">
        <v>40</v>
      </c>
      <c r="K75" s="45"/>
      <c r="L75" s="45"/>
      <c r="M75" s="46"/>
      <c r="N75" s="46"/>
      <c r="O75" s="46"/>
      <c r="P75" s="47"/>
      <c r="Q75" s="48" t="s">
        <v>22</v>
      </c>
      <c r="R75" s="47"/>
      <c r="S75" s="47"/>
      <c r="T75" s="73"/>
      <c r="U75" s="74"/>
    </row>
    <row r="76" spans="1:26" ht="13.8" x14ac:dyDescent="0.25">
      <c r="A76" s="2"/>
      <c r="B76" s="3"/>
      <c r="C76" s="116" t="s">
        <v>41</v>
      </c>
      <c r="D76" s="116"/>
      <c r="E76" s="116"/>
      <c r="F76" s="72">
        <v>0</v>
      </c>
      <c r="G76" s="42"/>
      <c r="H76" s="43"/>
      <c r="I76" s="43"/>
      <c r="J76" s="44" t="s">
        <v>42</v>
      </c>
      <c r="K76" s="45"/>
      <c r="L76" s="45"/>
      <c r="M76" s="46"/>
      <c r="N76" s="46"/>
      <c r="O76" s="46"/>
      <c r="P76" s="47"/>
      <c r="Q76" s="48" t="s">
        <v>22</v>
      </c>
      <c r="R76" s="47"/>
      <c r="S76" s="47"/>
      <c r="T76" s="73"/>
      <c r="U76" s="74"/>
      <c r="V76" s="86"/>
    </row>
    <row r="77" spans="1:26" ht="13.8" x14ac:dyDescent="0.25">
      <c r="A77" s="2"/>
      <c r="B77" s="3"/>
      <c r="C77" s="4"/>
      <c r="D77" s="45"/>
      <c r="E77" s="45"/>
      <c r="F77" s="13"/>
      <c r="G77" s="42"/>
      <c r="H77" s="43"/>
      <c r="I77" s="43"/>
      <c r="J77" s="44"/>
      <c r="K77" s="45"/>
      <c r="L77" s="45"/>
      <c r="M77" s="46"/>
      <c r="N77" s="46"/>
      <c r="O77" s="46"/>
      <c r="P77" s="47"/>
      <c r="Q77" s="48"/>
      <c r="R77" s="47"/>
      <c r="S77" s="47"/>
      <c r="T77" s="76"/>
      <c r="U77" s="77"/>
    </row>
    <row r="78" spans="1:26" ht="13.8" x14ac:dyDescent="0.25">
      <c r="A78" s="2"/>
      <c r="B78" s="3"/>
      <c r="C78" s="4"/>
      <c r="D78" s="45"/>
      <c r="E78" s="45"/>
      <c r="F78" s="13"/>
      <c r="G78" s="42"/>
      <c r="H78" s="43"/>
      <c r="I78" s="43"/>
      <c r="J78" s="44" t="s">
        <v>43</v>
      </c>
      <c r="K78" s="45"/>
      <c r="L78" s="45"/>
      <c r="M78" s="46"/>
      <c r="N78" s="46"/>
      <c r="O78" s="46"/>
      <c r="P78" s="47"/>
      <c r="Q78" s="48" t="s">
        <v>22</v>
      </c>
      <c r="R78" s="47"/>
      <c r="S78" s="47"/>
      <c r="T78" s="67"/>
      <c r="U78" s="50"/>
    </row>
    <row r="79" spans="1:26" ht="13.8" x14ac:dyDescent="0.25">
      <c r="A79" s="2"/>
      <c r="B79" s="3"/>
      <c r="C79" s="4"/>
      <c r="D79" s="45"/>
      <c r="E79" s="45"/>
      <c r="F79" s="13"/>
      <c r="G79" s="42"/>
      <c r="H79" s="43"/>
      <c r="I79" s="43"/>
      <c r="J79" s="44"/>
      <c r="K79" s="45"/>
      <c r="L79" s="45"/>
      <c r="M79" s="46"/>
      <c r="N79" s="46"/>
      <c r="O79" s="46"/>
      <c r="P79" s="47"/>
      <c r="Q79" s="48"/>
      <c r="R79" s="47"/>
      <c r="S79" s="47"/>
      <c r="T79" s="67"/>
      <c r="U79" s="50"/>
    </row>
    <row r="80" spans="1:26" ht="14.4" thickBot="1" x14ac:dyDescent="0.3">
      <c r="A80" s="2"/>
      <c r="B80" s="3"/>
      <c r="C80" s="4"/>
      <c r="D80" s="45"/>
      <c r="E80" s="45"/>
      <c r="F80" s="13"/>
      <c r="G80" s="42"/>
      <c r="H80" s="43"/>
      <c r="I80" s="75"/>
      <c r="J80" s="52" t="s">
        <v>44</v>
      </c>
      <c r="K80" s="53"/>
      <c r="L80" s="53"/>
      <c r="M80" s="54"/>
      <c r="N80" s="54"/>
      <c r="O80" s="54"/>
      <c r="P80" s="55"/>
      <c r="Q80" s="56" t="s">
        <v>22</v>
      </c>
      <c r="R80" s="55"/>
      <c r="S80" s="55"/>
      <c r="T80" s="78" t="e">
        <f>T68-T73</f>
        <v>#REF!</v>
      </c>
      <c r="U80" s="58"/>
    </row>
    <row r="81" spans="1:21" ht="13.8" x14ac:dyDescent="0.25">
      <c r="A81" s="2"/>
      <c r="B81" s="3"/>
      <c r="C81" s="68"/>
      <c r="D81" s="69"/>
      <c r="E81" s="69"/>
      <c r="F81" s="69"/>
      <c r="G81" s="70"/>
      <c r="H81" s="75"/>
      <c r="I81" s="60"/>
      <c r="J81" s="60"/>
      <c r="K81" s="60"/>
      <c r="L81" s="60"/>
      <c r="M81" s="61"/>
      <c r="N81" s="61"/>
      <c r="O81" s="61"/>
      <c r="P81" s="62"/>
      <c r="Q81" s="79"/>
      <c r="R81" s="62"/>
      <c r="S81" s="62"/>
      <c r="T81" s="60"/>
      <c r="U81" s="41"/>
    </row>
    <row r="82" spans="1:21" ht="13.8" x14ac:dyDescent="0.25">
      <c r="A82" s="2"/>
      <c r="B82" s="3"/>
      <c r="C82" s="4"/>
      <c r="D82" s="5"/>
      <c r="E82" s="5"/>
      <c r="F82" s="5"/>
      <c r="G82" s="80"/>
      <c r="H82" s="60"/>
      <c r="I82" s="45"/>
      <c r="J82" s="45"/>
      <c r="K82" s="45"/>
      <c r="L82" s="45"/>
      <c r="M82" s="46"/>
      <c r="N82" s="46"/>
      <c r="O82" s="46"/>
      <c r="P82" s="47"/>
      <c r="Q82" s="66"/>
      <c r="R82" s="47"/>
      <c r="S82" s="47"/>
      <c r="T82" s="45"/>
      <c r="U82" s="41"/>
    </row>
    <row r="83" spans="1:21" ht="13.8" x14ac:dyDescent="0.25">
      <c r="A83" s="2"/>
      <c r="B83" s="3"/>
      <c r="C83" s="4" t="s">
        <v>11</v>
      </c>
      <c r="D83" s="115"/>
      <c r="E83" s="115"/>
      <c r="F83" s="5"/>
      <c r="G83" s="80"/>
      <c r="H83" s="45"/>
      <c r="I83" s="45"/>
      <c r="J83" s="45"/>
      <c r="K83" s="45"/>
      <c r="L83" s="45"/>
      <c r="M83" s="46"/>
      <c r="N83" s="46"/>
      <c r="O83" s="46"/>
      <c r="P83" s="47"/>
      <c r="Q83" s="66"/>
      <c r="R83" s="47"/>
      <c r="S83" s="47"/>
      <c r="T83" s="10" t="s">
        <v>45</v>
      </c>
      <c r="U83" s="11"/>
    </row>
    <row r="84" spans="1:21" ht="13.8" x14ac:dyDescent="0.25">
      <c r="A84" s="2"/>
      <c r="B84" s="3"/>
      <c r="C84" s="4"/>
      <c r="D84" s="5"/>
      <c r="E84" s="5"/>
      <c r="F84" s="5"/>
      <c r="G84" s="80"/>
      <c r="H84" s="45"/>
      <c r="I84" s="45"/>
      <c r="J84" s="45"/>
      <c r="K84" s="45"/>
      <c r="L84" s="45"/>
      <c r="M84" s="46"/>
      <c r="N84" s="46"/>
      <c r="O84" s="46"/>
      <c r="P84" s="47"/>
      <c r="Q84" s="66"/>
      <c r="R84" s="47"/>
      <c r="S84" s="47"/>
      <c r="T84" s="45"/>
      <c r="U84" s="41"/>
    </row>
    <row r="85" spans="1:21" ht="13.8" x14ac:dyDescent="0.25">
      <c r="A85" s="2"/>
      <c r="B85" s="3"/>
      <c r="C85" s="113" t="s">
        <v>13</v>
      </c>
      <c r="D85" s="113"/>
      <c r="E85" s="113"/>
      <c r="F85" s="5"/>
      <c r="G85" s="6"/>
      <c r="H85" s="45"/>
      <c r="I85" s="7"/>
      <c r="J85" s="114" t="s">
        <v>14</v>
      </c>
      <c r="K85" s="114"/>
      <c r="L85" s="7"/>
      <c r="M85" s="7"/>
      <c r="N85" s="7"/>
      <c r="O85" s="7"/>
      <c r="P85" s="8"/>
      <c r="Q85" s="9"/>
      <c r="R85" s="8"/>
      <c r="S85" s="8"/>
      <c r="T85" s="13" t="s">
        <v>15</v>
      </c>
      <c r="U85" s="14"/>
    </row>
    <row r="86" spans="1:21" ht="13.8" x14ac:dyDescent="0.25">
      <c r="H86" s="7"/>
    </row>
  </sheetData>
  <mergeCells count="108">
    <mergeCell ref="T23:T25"/>
    <mergeCell ref="C23:C25"/>
    <mergeCell ref="B23:B25"/>
    <mergeCell ref="O23:O25"/>
    <mergeCell ref="P23:P25"/>
    <mergeCell ref="Q23:Q25"/>
    <mergeCell ref="A34:A41"/>
    <mergeCell ref="B34:B41"/>
    <mergeCell ref="C34:C41"/>
    <mergeCell ref="O34:O42"/>
    <mergeCell ref="P34:P42"/>
    <mergeCell ref="Q34:Q42"/>
    <mergeCell ref="R34:R42"/>
    <mergeCell ref="S34:S42"/>
    <mergeCell ref="T26:T33"/>
    <mergeCell ref="T34:T42"/>
    <mergeCell ref="P26:P33"/>
    <mergeCell ref="Q26:Q33"/>
    <mergeCell ref="R26:R33"/>
    <mergeCell ref="S26:S33"/>
    <mergeCell ref="A28:A33"/>
    <mergeCell ref="B28:B33"/>
    <mergeCell ref="C28:C33"/>
    <mergeCell ref="A23:A25"/>
    <mergeCell ref="T17:T19"/>
    <mergeCell ref="A17:A19"/>
    <mergeCell ref="B17:B19"/>
    <mergeCell ref="C17:C19"/>
    <mergeCell ref="O20:O22"/>
    <mergeCell ref="P20:P22"/>
    <mergeCell ref="Q20:Q22"/>
    <mergeCell ref="R20:R22"/>
    <mergeCell ref="S20:S22"/>
    <mergeCell ref="T20:T22"/>
    <mergeCell ref="C20:C22"/>
    <mergeCell ref="B20:B22"/>
    <mergeCell ref="A20:A22"/>
    <mergeCell ref="O17:O19"/>
    <mergeCell ref="P17:P19"/>
    <mergeCell ref="Q17:Q19"/>
    <mergeCell ref="R17:R19"/>
    <mergeCell ref="S17:S19"/>
    <mergeCell ref="T14:T16"/>
    <mergeCell ref="S14:S16"/>
    <mergeCell ref="R14:R16"/>
    <mergeCell ref="Q14:Q16"/>
    <mergeCell ref="P14:P16"/>
    <mergeCell ref="O14:O16"/>
    <mergeCell ref="C14:C16"/>
    <mergeCell ref="B14:B16"/>
    <mergeCell ref="A14:A16"/>
    <mergeCell ref="A1:T1"/>
    <mergeCell ref="A3:A4"/>
    <mergeCell ref="C3:C4"/>
    <mergeCell ref="D3:E3"/>
    <mergeCell ref="F3:F4"/>
    <mergeCell ref="G3:M3"/>
    <mergeCell ref="N3:N4"/>
    <mergeCell ref="P3:P4"/>
    <mergeCell ref="Q3:Q4"/>
    <mergeCell ref="R3:R4"/>
    <mergeCell ref="S3:S4"/>
    <mergeCell ref="T3:T4"/>
    <mergeCell ref="B3:B4"/>
    <mergeCell ref="O3:O4"/>
    <mergeCell ref="A26:A27"/>
    <mergeCell ref="B26:B27"/>
    <mergeCell ref="C26:C27"/>
    <mergeCell ref="R23:R25"/>
    <mergeCell ref="A8:A10"/>
    <mergeCell ref="B8:B10"/>
    <mergeCell ref="C8:C10"/>
    <mergeCell ref="O8:O10"/>
    <mergeCell ref="P8:P10"/>
    <mergeCell ref="O26:O33"/>
    <mergeCell ref="C85:E85"/>
    <mergeCell ref="J85:K85"/>
    <mergeCell ref="D47:E47"/>
    <mergeCell ref="C49:E49"/>
    <mergeCell ref="J49:K49"/>
    <mergeCell ref="C74:E74"/>
    <mergeCell ref="C75:E75"/>
    <mergeCell ref="C76:E76"/>
    <mergeCell ref="D83:E83"/>
    <mergeCell ref="S23:S25"/>
    <mergeCell ref="U73:V73"/>
    <mergeCell ref="S5:S7"/>
    <mergeCell ref="T5:T7"/>
    <mergeCell ref="A5:A7"/>
    <mergeCell ref="B5:B7"/>
    <mergeCell ref="C5:C7"/>
    <mergeCell ref="O5:O7"/>
    <mergeCell ref="P5:P7"/>
    <mergeCell ref="Q5:Q7"/>
    <mergeCell ref="R5:R7"/>
    <mergeCell ref="Q8:Q10"/>
    <mergeCell ref="R8:R10"/>
    <mergeCell ref="S8:S10"/>
    <mergeCell ref="T8:T10"/>
    <mergeCell ref="O11:O13"/>
    <mergeCell ref="P11:P13"/>
    <mergeCell ref="Q11:Q13"/>
    <mergeCell ref="T11:T13"/>
    <mergeCell ref="S11:S13"/>
    <mergeCell ref="R11:R13"/>
    <mergeCell ref="A11:A13"/>
    <mergeCell ref="B11:B13"/>
    <mergeCell ref="C11:C13"/>
  </mergeCells>
  <phoneticPr fontId="18" type="noConversion"/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&amp;C&amp;"Arial,Regular"&amp;A</oddHeader>
    <oddFooter>&amp;C&amp;"Arial,Regular"Page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 Sri Hari Raju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Local &amp; Tour expense Report</dc:title>
  <dc:subject/>
  <dc:creator>VIVIFY TECHNOCRATS</dc:creator>
  <dc:description/>
  <cp:lastModifiedBy>Sanjai S</cp:lastModifiedBy>
  <cp:revision>2</cp:revision>
  <cp:lastPrinted>2024-01-04T12:53:42Z</cp:lastPrinted>
  <dcterms:created xsi:type="dcterms:W3CDTF">2008-01-25T18:43:47Z</dcterms:created>
  <dcterms:modified xsi:type="dcterms:W3CDTF">2026-02-25T09:36:57Z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nfo 1">
    <vt:lpwstr/>
  </property>
  <property fmtid="{D5CDD505-2E9C-101B-9397-08002B2CF9AE}" pid="3" name="Info 2">
    <vt:lpwstr/>
  </property>
  <property fmtid="{D5CDD505-2E9C-101B-9397-08002B2CF9AE}" pid="4" name="Info 3">
    <vt:lpwstr/>
  </property>
  <property fmtid="{D5CDD505-2E9C-101B-9397-08002B2CF9AE}" pid="5" name="Info 4">
    <vt:lpwstr/>
  </property>
</Properties>
</file>